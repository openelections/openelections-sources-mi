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DOCUSH-FS\FolderRedirection\Clerks\jnielsen\Documents\2018 Elections\November General\"/>
    </mc:Choice>
  </mc:AlternateContent>
  <bookViews>
    <workbookView xWindow="0" yWindow="0" windowWidth="23250" windowHeight="11985" tabRatio="621" activeTab="2"/>
  </bookViews>
  <sheets>
    <sheet name="State,Cong,Leg" sheetId="1" r:id="rId1"/>
    <sheet name="State Boards" sheetId="2" r:id="rId2"/>
    <sheet name="Wayne,Cnty,Twp,Judge" sheetId="39" r:id="rId3"/>
    <sheet name="Kirt,COOR,Schools,Proposal" sheetId="38" r:id="rId4"/>
  </sheets>
  <definedNames>
    <definedName name="_xlnm.Print_Area" localSheetId="3">'Kirt,COOR,Schools,Proposal'!$A$1:$AM$32</definedName>
    <definedName name="_xlnm.Print_Area" localSheetId="1">'State Boards'!$A$1:$AJ$26</definedName>
    <definedName name="_xlnm.Print_Area" localSheetId="0">'State,Cong,Leg'!$A$1:$AL$26</definedName>
    <definedName name="_xlnm.Print_Area" localSheetId="2">'Wayne,Cnty,Twp,Judge'!$A$1:$AN$27</definedName>
  </definedNames>
  <calcPr calcId="152511"/>
</workbook>
</file>

<file path=xl/calcChain.xml><?xml version="1.0" encoding="utf-8"?>
<calcChain xmlns="http://schemas.openxmlformats.org/spreadsheetml/2006/main">
  <c r="AL25" i="1" l="1"/>
  <c r="AK25" i="1"/>
  <c r="C25" i="1"/>
  <c r="Z12" i="2"/>
  <c r="AA12" i="2"/>
  <c r="E12" i="2"/>
  <c r="D12" i="2"/>
  <c r="C12" i="2"/>
  <c r="A25" i="1" l="1"/>
  <c r="Z32" i="38" l="1"/>
  <c r="M32" i="38"/>
  <c r="L32" i="38"/>
  <c r="H32" i="38"/>
  <c r="AD26" i="39"/>
  <c r="AC26" i="39"/>
  <c r="AB26" i="39"/>
  <c r="J26" i="39"/>
  <c r="I26" i="39"/>
  <c r="H26" i="39"/>
  <c r="G26" i="39"/>
  <c r="F26" i="39"/>
  <c r="E26" i="39"/>
  <c r="D26" i="39"/>
  <c r="C26" i="39"/>
  <c r="T25" i="2" l="1"/>
  <c r="S25" i="2"/>
  <c r="M25" i="2"/>
  <c r="L25" i="2"/>
  <c r="K25" i="2"/>
  <c r="J25" i="2"/>
  <c r="I25" i="2"/>
  <c r="H25" i="2"/>
  <c r="G25" i="2"/>
  <c r="F25" i="2"/>
  <c r="E25" i="2"/>
  <c r="D25" i="2"/>
  <c r="C25" i="2"/>
  <c r="F25" i="1"/>
  <c r="AI25" i="1" l="1"/>
  <c r="AH25" i="1"/>
  <c r="AG25" i="1"/>
  <c r="AE25" i="1"/>
  <c r="AD25" i="1"/>
  <c r="AB25" i="1"/>
  <c r="AA25" i="1"/>
  <c r="Z25" i="1"/>
  <c r="Y25" i="1"/>
  <c r="X25" i="1"/>
  <c r="AL32" i="38" l="1"/>
  <c r="AK32" i="38"/>
  <c r="AI32" i="38"/>
  <c r="AC32" i="38"/>
  <c r="AB32" i="38"/>
  <c r="P32" i="38"/>
  <c r="I32" i="38"/>
  <c r="D32" i="38"/>
  <c r="R32" i="38"/>
  <c r="W25" i="2"/>
  <c r="AM26" i="39"/>
  <c r="Y26" i="39"/>
  <c r="G25" i="1"/>
  <c r="H25" i="1"/>
  <c r="I25" i="1"/>
  <c r="E32" i="38"/>
  <c r="F32" i="38"/>
  <c r="G32" i="38"/>
  <c r="J32" i="38"/>
  <c r="K32" i="38"/>
  <c r="O32" i="38"/>
  <c r="Q32" i="38"/>
  <c r="S32" i="38"/>
  <c r="T32" i="38"/>
  <c r="U32" i="38"/>
  <c r="V32" i="38"/>
  <c r="W32" i="38"/>
  <c r="X32" i="38"/>
  <c r="Y32" i="38"/>
  <c r="AA32" i="38"/>
  <c r="AD32" i="38"/>
  <c r="AE32" i="38"/>
  <c r="AF32" i="38"/>
  <c r="AG32" i="38"/>
  <c r="AH32" i="38"/>
  <c r="C32" i="38"/>
  <c r="AL26" i="39"/>
  <c r="AJ26" i="39"/>
  <c r="AH26" i="39"/>
  <c r="AF26" i="39"/>
  <c r="AE26" i="39"/>
  <c r="AA26" i="39"/>
  <c r="X26" i="39"/>
  <c r="V26" i="39"/>
  <c r="T26" i="39"/>
  <c r="S26" i="39"/>
  <c r="R26" i="39"/>
  <c r="Q26" i="39"/>
  <c r="P26" i="39"/>
  <c r="O26" i="39"/>
  <c r="N26" i="39"/>
  <c r="L26" i="39"/>
  <c r="AI25" i="2"/>
  <c r="AH25" i="2"/>
  <c r="AG25" i="2"/>
  <c r="AF25" i="2"/>
  <c r="AE25" i="2"/>
  <c r="AD25" i="2"/>
  <c r="AC25" i="2"/>
  <c r="AB25" i="2"/>
  <c r="AA25" i="2"/>
  <c r="Z25" i="2"/>
  <c r="X25" i="2"/>
  <c r="V25" i="2"/>
  <c r="U25" i="2"/>
  <c r="R25" i="2"/>
  <c r="Q25" i="2"/>
  <c r="P25" i="2"/>
  <c r="O25" i="2"/>
  <c r="K25" i="1"/>
  <c r="J25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2" i="1"/>
  <c r="B23" i="1"/>
  <c r="B6" i="1"/>
  <c r="V25" i="1"/>
  <c r="U25" i="1"/>
  <c r="T25" i="1"/>
  <c r="S25" i="1"/>
  <c r="R25" i="1"/>
  <c r="P25" i="1"/>
  <c r="O25" i="1"/>
  <c r="N25" i="1"/>
  <c r="M25" i="1"/>
  <c r="B25" i="1" l="1"/>
</calcChain>
</file>

<file path=xl/sharedStrings.xml><?xml version="1.0" encoding="utf-8"?>
<sst xmlns="http://schemas.openxmlformats.org/spreadsheetml/2006/main" count="312" uniqueCount="203">
  <si>
    <t>Aetna</t>
  </si>
  <si>
    <t>Congressional</t>
  </si>
  <si>
    <t>Clerk</t>
  </si>
  <si>
    <t>Legislative</t>
  </si>
  <si>
    <t>County</t>
  </si>
  <si>
    <t>Township</t>
  </si>
  <si>
    <t>Zuiderveen</t>
  </si>
  <si>
    <t>Bridson</t>
  </si>
  <si>
    <t>Norwich</t>
  </si>
  <si>
    <t>Hughston</t>
  </si>
  <si>
    <t>McBain</t>
  </si>
  <si>
    <t>Rep</t>
  </si>
  <si>
    <t>Dem</t>
  </si>
  <si>
    <t>Rendon</t>
  </si>
  <si>
    <t xml:space="preserve">Rep   </t>
  </si>
  <si>
    <t>Vanderwal</t>
  </si>
  <si>
    <t>Total</t>
  </si>
  <si>
    <t>Republican</t>
  </si>
  <si>
    <t>Grn</t>
  </si>
  <si>
    <t>NL</t>
  </si>
  <si>
    <t>Lib</t>
  </si>
  <si>
    <t>Ustx</t>
  </si>
  <si>
    <t>Rep 103rd</t>
  </si>
  <si>
    <t>State Boards</t>
  </si>
  <si>
    <t>Gale</t>
  </si>
  <si>
    <t>Judicial</t>
  </si>
  <si>
    <t>Dern</t>
  </si>
  <si>
    <t>Manton</t>
  </si>
  <si>
    <t>State</t>
  </si>
  <si>
    <t>Secretary of State</t>
  </si>
  <si>
    <t>Attorney General</t>
  </si>
  <si>
    <t>US Senator</t>
  </si>
  <si>
    <t>Rep 4th District</t>
  </si>
  <si>
    <t>Moolenaar</t>
  </si>
  <si>
    <t>Wells</t>
  </si>
  <si>
    <t>NonPartisan</t>
  </si>
  <si>
    <t>Christian</t>
  </si>
  <si>
    <t>Commissioner</t>
  </si>
  <si>
    <t>1st Dist</t>
  </si>
  <si>
    <t>2nd Dist</t>
  </si>
  <si>
    <t>3rd Dist</t>
  </si>
  <si>
    <t>4th Dist</t>
  </si>
  <si>
    <t>5th Dist</t>
  </si>
  <si>
    <t>6th Dist</t>
  </si>
  <si>
    <t>7th Dist</t>
  </si>
  <si>
    <t xml:space="preserve">Lake City </t>
  </si>
  <si>
    <t>Bloomfield</t>
  </si>
  <si>
    <t>Butterfield</t>
  </si>
  <si>
    <t>Caldwell</t>
  </si>
  <si>
    <t>Clam Union</t>
  </si>
  <si>
    <t>Enterprise</t>
  </si>
  <si>
    <t>Forest</t>
  </si>
  <si>
    <t>Holland</t>
  </si>
  <si>
    <t>Lake</t>
  </si>
  <si>
    <t>Pioneer</t>
  </si>
  <si>
    <t xml:space="preserve">Reeder </t>
  </si>
  <si>
    <t>Riverside</t>
  </si>
  <si>
    <t>West Branch</t>
  </si>
  <si>
    <t>Lake City</t>
  </si>
  <si>
    <t>Poll Book</t>
  </si>
  <si>
    <t>% Of Voters</t>
  </si>
  <si>
    <t>Reeder</t>
  </si>
  <si>
    <t>Richland</t>
  </si>
  <si>
    <t>Trustee of Michigan State University</t>
  </si>
  <si>
    <t>Governor of Wayne State University</t>
  </si>
  <si>
    <t>Regent University of Michigan</t>
  </si>
  <si>
    <t>Wexford County</t>
  </si>
  <si>
    <t>Clam Lake</t>
  </si>
  <si>
    <t>Senator 35th Dist</t>
  </si>
  <si>
    <t xml:space="preserve">Rep </t>
  </si>
  <si>
    <t>Proposals</t>
  </si>
  <si>
    <t>Yes</t>
  </si>
  <si>
    <t xml:space="preserve">No </t>
  </si>
  <si>
    <t xml:space="preserve"> </t>
  </si>
  <si>
    <t>Reg Voters</t>
  </si>
  <si>
    <t>Trustee</t>
  </si>
  <si>
    <t>COOR ISD</t>
  </si>
  <si>
    <t>Board Trustee Kirtland</t>
  </si>
  <si>
    <t>Governor and Lt Governor</t>
  </si>
  <si>
    <t>Clare County</t>
  </si>
  <si>
    <t>Osceola County</t>
  </si>
  <si>
    <t>Highland Twp</t>
  </si>
  <si>
    <t>Winterfield Twp</t>
  </si>
  <si>
    <t>James</t>
  </si>
  <si>
    <t>Stabenow</t>
  </si>
  <si>
    <t>Huffman III</t>
  </si>
  <si>
    <t>Squier</t>
  </si>
  <si>
    <t>Wilhelm</t>
  </si>
  <si>
    <t>Hilliard</t>
  </si>
  <si>
    <t>Schaiberger</t>
  </si>
  <si>
    <t>VanderWall</t>
  </si>
  <si>
    <t>Taillard</t>
  </si>
  <si>
    <t>Coon</t>
  </si>
  <si>
    <t>Adams</t>
  </si>
  <si>
    <t>Levesque</t>
  </si>
  <si>
    <t>Hering</t>
  </si>
  <si>
    <t>Smith</t>
  </si>
  <si>
    <t>Graves</t>
  </si>
  <si>
    <t>Sallows</t>
  </si>
  <si>
    <t>Janet Sanger</t>
  </si>
  <si>
    <t>John Sanger</t>
  </si>
  <si>
    <t>Mariasy</t>
  </si>
  <si>
    <t>McGee</t>
  </si>
  <si>
    <t>Niebrzydowski</t>
  </si>
  <si>
    <t>Ouwinga</t>
  </si>
  <si>
    <t>Smallegan</t>
  </si>
  <si>
    <t>Roberts</t>
  </si>
  <si>
    <t>Burkholder</t>
  </si>
  <si>
    <t>Richards</t>
  </si>
  <si>
    <t>Clement (I)</t>
  </si>
  <si>
    <t>Wilder (I)</t>
  </si>
  <si>
    <t>Borrello (I)</t>
  </si>
  <si>
    <t>Swartzle (I)</t>
  </si>
  <si>
    <t>Hoffman</t>
  </si>
  <si>
    <t>Ransom</t>
  </si>
  <si>
    <t>Twp or City</t>
  </si>
  <si>
    <t>Twp/City</t>
  </si>
  <si>
    <t>Hayes</t>
  </si>
  <si>
    <t>Marek</t>
  </si>
  <si>
    <t>Mularz</t>
  </si>
  <si>
    <t>Kirtland Comm College</t>
  </si>
  <si>
    <t>Knepp</t>
  </si>
  <si>
    <t>Kramer</t>
  </si>
  <si>
    <t>Patterson</t>
  </si>
  <si>
    <t>School Board Local School District</t>
  </si>
  <si>
    <t>H Lk Term End 12/31/2020</t>
  </si>
  <si>
    <t>Ardis</t>
  </si>
  <si>
    <t>McGiness</t>
  </si>
  <si>
    <t>Rainier</t>
  </si>
  <si>
    <t>Kibbe</t>
  </si>
  <si>
    <t>Watson</t>
  </si>
  <si>
    <t>Bosel</t>
  </si>
  <si>
    <t>Term End 12/31/2020</t>
  </si>
  <si>
    <t>Term End 12/31/2022</t>
  </si>
  <si>
    <t>Hamilton</t>
  </si>
  <si>
    <t>Heuker</t>
  </si>
  <si>
    <t>Kline</t>
  </si>
  <si>
    <t>18-1</t>
  </si>
  <si>
    <t>18-2</t>
  </si>
  <si>
    <t>18-3</t>
  </si>
  <si>
    <t>Sucharski</t>
  </si>
  <si>
    <t>Schuette/Lyons</t>
  </si>
  <si>
    <t>Whitmer/Gilchrist</t>
  </si>
  <si>
    <t>Gelineau/Thomas</t>
  </si>
  <si>
    <t>Schleiger/Lackie</t>
  </si>
  <si>
    <t>Kurland/Davenport</t>
  </si>
  <si>
    <t>Butkovich/Warner</t>
  </si>
  <si>
    <t>Lang</t>
  </si>
  <si>
    <t>Benson</t>
  </si>
  <si>
    <t>Stempfle</t>
  </si>
  <si>
    <t>Leonard</t>
  </si>
  <si>
    <t>Nessel</t>
  </si>
  <si>
    <t>Gioia</t>
  </si>
  <si>
    <t>G. Van Sickle</t>
  </si>
  <si>
    <t>NP</t>
  </si>
  <si>
    <t>Graveline</t>
  </si>
  <si>
    <t>Partisan Section - Continued</t>
  </si>
  <si>
    <t>Partisan Section</t>
  </si>
  <si>
    <t>Board of Education</t>
  </si>
  <si>
    <t>Wcp</t>
  </si>
  <si>
    <t>Carlone</t>
  </si>
  <si>
    <t>Zeile</t>
  </si>
  <si>
    <t>Pritchett</t>
  </si>
  <si>
    <t>Tilley</t>
  </si>
  <si>
    <t>Boman</t>
  </si>
  <si>
    <t>Tatar</t>
  </si>
  <si>
    <t>Newman</t>
  </si>
  <si>
    <t>Richner</t>
  </si>
  <si>
    <t>Acker</t>
  </si>
  <si>
    <t>Brown</t>
  </si>
  <si>
    <t>Hudler</t>
  </si>
  <si>
    <t>Jascob</t>
  </si>
  <si>
    <t>C. Van Sickle</t>
  </si>
  <si>
    <t>Dutch</t>
  </si>
  <si>
    <t>Miller</t>
  </si>
  <si>
    <t>Scott</t>
  </si>
  <si>
    <t>Tebay</t>
  </si>
  <si>
    <t>Campbell</t>
  </si>
  <si>
    <t>Orzechowski</t>
  </si>
  <si>
    <t>Joe Sanger</t>
  </si>
  <si>
    <t>Abraham - Guzman</t>
  </si>
  <si>
    <t>Dunaskiss</t>
  </si>
  <si>
    <t>Nicholson</t>
  </si>
  <si>
    <t>Barnhill</t>
  </si>
  <si>
    <t>Kumar</t>
  </si>
  <si>
    <t>Elgas</t>
  </si>
  <si>
    <t>Hargenrader</t>
  </si>
  <si>
    <t>Schwartz</t>
  </si>
  <si>
    <t>Sosnowski</t>
  </si>
  <si>
    <t>Rd Comm</t>
  </si>
  <si>
    <t xml:space="preserve">Justice of Supreme Court </t>
  </si>
  <si>
    <t>Bagenstos</t>
  </si>
  <si>
    <t>Cavanagh</t>
  </si>
  <si>
    <t>Morgan</t>
  </si>
  <si>
    <t>Ct Appeals 4th Dist Incumbent</t>
  </si>
  <si>
    <t>Ct Appeals 4th Dist Incumbent Term End 01/01/2023</t>
  </si>
  <si>
    <t>Judge Probate Court</t>
  </si>
  <si>
    <t>Feuling</t>
  </si>
  <si>
    <t>Langlois</t>
  </si>
  <si>
    <t>Whittington</t>
  </si>
  <si>
    <t>NonPartisan - Continued</t>
  </si>
  <si>
    <t>Houghton Lake</t>
  </si>
  <si>
    <t>Marion Twp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</si>
</sst>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CC"/>
        <bgColor indexed="64"/>
      </patternFill>
    </fill>
    <fill>
      <patternFill patternType="solid">
        <fgColor rgb="FF0000FF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6">
    <xf numFmtId="0" fontId="0" fillId="0" borderId="0" xfId="0"/>
    <xf numFmtId="0" fontId="0" fillId="0" borderId="0" xfId="0" applyBorder="1" applyAlignment="1"/>
    <xf numFmtId="0" fontId="0" fillId="0" borderId="0" xfId="0" applyBorder="1" applyAlignment="1">
      <alignment textRotation="90"/>
    </xf>
    <xf numFmtId="0" fontId="0" fillId="0" borderId="0" xfId="0" applyBorder="1"/>
    <xf numFmtId="0" fontId="0" fillId="0" borderId="0" xfId="0" applyFill="1" applyBorder="1" applyAlignment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textRotation="90"/>
    </xf>
    <xf numFmtId="0" fontId="0" fillId="0" borderId="0" xfId="0" applyFill="1" applyBorder="1"/>
    <xf numFmtId="0" fontId="3" fillId="0" borderId="0" xfId="0" applyFont="1" applyFill="1" applyBorder="1" applyAlignment="1">
      <alignment horizontal="center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 applyAlignment="1">
      <alignment horizontal="center" textRotation="90"/>
    </xf>
    <xf numFmtId="0" fontId="0" fillId="0" borderId="0" xfId="0" applyFill="1" applyBorder="1" applyAlignment="1">
      <alignment horizontal="center" textRotation="90"/>
    </xf>
    <xf numFmtId="0" fontId="1" fillId="0" borderId="0" xfId="0" applyFont="1" applyBorder="1" applyAlignment="1">
      <alignment horizontal="left"/>
    </xf>
    <xf numFmtId="14" fontId="1" fillId="0" borderId="0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Fill="1" applyBorder="1" applyAlignment="1">
      <alignment horizontal="left"/>
    </xf>
    <xf numFmtId="0" fontId="1" fillId="0" borderId="5" xfId="0" applyFont="1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horizontal="center"/>
    </xf>
    <xf numFmtId="0" fontId="3" fillId="2" borderId="7" xfId="0" applyFont="1" applyFill="1" applyBorder="1" applyAlignment="1"/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/>
    <xf numFmtId="0" fontId="0" fillId="2" borderId="0" xfId="0" applyFill="1" applyBorder="1"/>
    <xf numFmtId="0" fontId="0" fillId="2" borderId="6" xfId="0" applyFill="1" applyBorder="1"/>
    <xf numFmtId="0" fontId="0" fillId="2" borderId="10" xfId="0" applyFill="1" applyBorder="1" applyAlignment="1">
      <alignment horizontal="left"/>
    </xf>
    <xf numFmtId="0" fontId="0" fillId="2" borderId="11" xfId="0" applyFill="1" applyBorder="1"/>
    <xf numFmtId="0" fontId="0" fillId="2" borderId="12" xfId="0" applyFill="1" applyBorder="1"/>
    <xf numFmtId="0" fontId="0" fillId="0" borderId="9" xfId="0" applyBorder="1" applyAlignment="1">
      <alignment horizontal="center" vertical="justify" textRotation="90"/>
    </xf>
    <xf numFmtId="0" fontId="0" fillId="0" borderId="13" xfId="0" applyBorder="1" applyAlignment="1">
      <alignment horizontal="center" vertical="justify" textRotation="90"/>
    </xf>
    <xf numFmtId="0" fontId="0" fillId="2" borderId="0" xfId="0" applyFill="1" applyBorder="1" applyAlignment="1"/>
    <xf numFmtId="0" fontId="0" fillId="0" borderId="8" xfId="0" applyBorder="1" applyAlignment="1">
      <alignment horizontal="left"/>
    </xf>
    <xf numFmtId="0" fontId="3" fillId="0" borderId="13" xfId="0" applyFont="1" applyBorder="1" applyAlignment="1">
      <alignment horizontal="center" textRotation="90" wrapText="1"/>
    </xf>
    <xf numFmtId="0" fontId="3" fillId="0" borderId="9" xfId="0" applyFont="1" applyBorder="1" applyAlignment="1">
      <alignment horizontal="center" textRotation="90" wrapText="1"/>
    </xf>
    <xf numFmtId="0" fontId="3" fillId="0" borderId="4" xfId="0" applyFont="1" applyBorder="1" applyAlignment="1">
      <alignment horizontal="center" textRotation="90" wrapText="1"/>
    </xf>
    <xf numFmtId="0" fontId="0" fillId="0" borderId="1" xfId="0" applyBorder="1" applyAlignment="1">
      <alignment horizontal="left"/>
    </xf>
    <xf numFmtId="0" fontId="0" fillId="2" borderId="0" xfId="0" applyFill="1" applyBorder="1" applyAlignment="1">
      <alignment horizontal="center" wrapText="1"/>
    </xf>
    <xf numFmtId="0" fontId="0" fillId="2" borderId="3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left"/>
    </xf>
    <xf numFmtId="0" fontId="0" fillId="2" borderId="3" xfId="0" applyFill="1" applyBorder="1" applyAlignment="1">
      <alignment horizontal="center"/>
    </xf>
    <xf numFmtId="0" fontId="0" fillId="2" borderId="3" xfId="0" applyFill="1" applyBorder="1" applyAlignment="1"/>
    <xf numFmtId="0" fontId="0" fillId="0" borderId="1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3" fillId="0" borderId="13" xfId="0" applyFont="1" applyBorder="1" applyAlignment="1">
      <alignment horizontal="center" textRotation="90"/>
    </xf>
    <xf numFmtId="0" fontId="1" fillId="2" borderId="16" xfId="0" applyFont="1" applyFill="1" applyBorder="1" applyAlignment="1">
      <alignment horizontal="center"/>
    </xf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1" fillId="0" borderId="19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6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3" fillId="0" borderId="0" xfId="0" applyFont="1" applyFill="1" applyBorder="1" applyAlignment="1">
      <alignment textRotation="90"/>
    </xf>
    <xf numFmtId="0" fontId="0" fillId="0" borderId="0" xfId="0" applyFill="1" applyBorder="1" applyAlignment="1">
      <alignment wrapText="1"/>
    </xf>
    <xf numFmtId="0" fontId="3" fillId="0" borderId="0" xfId="0" applyFont="1" applyFill="1" applyBorder="1" applyAlignment="1">
      <alignment horizontal="center" textRotation="90"/>
    </xf>
    <xf numFmtId="0" fontId="0" fillId="2" borderId="10" xfId="0" applyFill="1" applyBorder="1" applyAlignment="1"/>
    <xf numFmtId="0" fontId="3" fillId="0" borderId="25" xfId="0" applyFont="1" applyFill="1" applyBorder="1" applyAlignment="1">
      <alignment horizontal="center" textRotation="90"/>
    </xf>
    <xf numFmtId="0" fontId="0" fillId="2" borderId="11" xfId="0" applyFill="1" applyBorder="1" applyAlignment="1"/>
    <xf numFmtId="0" fontId="0" fillId="0" borderId="6" xfId="0" applyFill="1" applyBorder="1"/>
    <xf numFmtId="0" fontId="0" fillId="0" borderId="24" xfId="0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23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0" fillId="3" borderId="13" xfId="0" applyFill="1" applyBorder="1" applyAlignment="1"/>
    <xf numFmtId="0" fontId="0" fillId="4" borderId="13" xfId="0" applyFill="1" applyBorder="1" applyAlignment="1"/>
    <xf numFmtId="0" fontId="0" fillId="5" borderId="7" xfId="0" applyFill="1" applyBorder="1" applyAlignment="1"/>
    <xf numFmtId="0" fontId="0" fillId="3" borderId="22" xfId="0" applyFill="1" applyBorder="1" applyAlignment="1"/>
    <xf numFmtId="0" fontId="0" fillId="5" borderId="13" xfId="0" applyFill="1" applyBorder="1" applyAlignment="1"/>
    <xf numFmtId="0" fontId="0" fillId="6" borderId="13" xfId="0" applyFill="1" applyBorder="1" applyAlignment="1"/>
    <xf numFmtId="0" fontId="0" fillId="7" borderId="13" xfId="0" applyFill="1" applyBorder="1" applyAlignment="1"/>
    <xf numFmtId="0" fontId="0" fillId="8" borderId="13" xfId="0" applyFill="1" applyBorder="1" applyAlignment="1"/>
    <xf numFmtId="0" fontId="1" fillId="0" borderId="0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center" textRotation="90"/>
    </xf>
    <xf numFmtId="0" fontId="0" fillId="0" borderId="0" xfId="0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textRotation="90" wrapText="1"/>
    </xf>
    <xf numFmtId="0" fontId="3" fillId="2" borderId="7" xfId="0" applyFont="1" applyFill="1" applyBorder="1" applyAlignment="1">
      <alignment horizontal="center" textRotation="90" wrapText="1"/>
    </xf>
    <xf numFmtId="0" fontId="3" fillId="2" borderId="13" xfId="0" applyFont="1" applyFill="1" applyBorder="1" applyAlignment="1">
      <alignment horizontal="center" textRotation="90"/>
    </xf>
    <xf numFmtId="0" fontId="3" fillId="0" borderId="13" xfId="0" applyFont="1" applyFill="1" applyBorder="1" applyAlignment="1">
      <alignment horizontal="center" textRotation="90"/>
    </xf>
    <xf numFmtId="0" fontId="3" fillId="2" borderId="11" xfId="0" applyFont="1" applyFill="1" applyBorder="1" applyAlignment="1">
      <alignment horizontal="center" textRotation="90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3" fillId="0" borderId="0" xfId="0" applyFont="1" applyFill="1" applyBorder="1" applyAlignment="1">
      <alignment textRotation="90" wrapText="1"/>
    </xf>
    <xf numFmtId="0" fontId="0" fillId="3" borderId="13" xfId="0" applyFill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Border="1" applyAlignment="1"/>
    <xf numFmtId="0" fontId="5" fillId="0" borderId="0" xfId="0" applyFont="1" applyBorder="1" applyAlignment="1">
      <alignment horizontal="center"/>
    </xf>
    <xf numFmtId="0" fontId="4" fillId="0" borderId="0" xfId="0" applyFont="1" applyBorder="1"/>
    <xf numFmtId="0" fontId="4" fillId="0" borderId="0" xfId="0" applyFont="1"/>
    <xf numFmtId="0" fontId="4" fillId="2" borderId="0" xfId="0" applyFont="1" applyFill="1" applyBorder="1" applyAlignment="1"/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2" borderId="30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4" fillId="2" borderId="30" xfId="0" applyFont="1" applyFill="1" applyBorder="1" applyAlignment="1"/>
    <xf numFmtId="0" fontId="4" fillId="0" borderId="0" xfId="0" applyFont="1" applyFill="1" applyBorder="1" applyAlignment="1">
      <alignment wrapText="1"/>
    </xf>
    <xf numFmtId="0" fontId="4" fillId="0" borderId="0" xfId="0" applyFont="1" applyFill="1" applyBorder="1" applyAlignment="1"/>
    <xf numFmtId="0" fontId="5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2" borderId="31" xfId="0" applyFont="1" applyFill="1" applyBorder="1" applyAlignment="1">
      <alignment wrapText="1"/>
    </xf>
    <xf numFmtId="0" fontId="4" fillId="2" borderId="31" xfId="0" applyFont="1" applyFill="1" applyBorder="1" applyAlignment="1"/>
    <xf numFmtId="0" fontId="4" fillId="2" borderId="10" xfId="0" applyFont="1" applyFill="1" applyBorder="1" applyAlignment="1"/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5" fillId="0" borderId="20" xfId="0" applyFont="1" applyBorder="1" applyAlignment="1">
      <alignment horizontal="left"/>
    </xf>
    <xf numFmtId="0" fontId="4" fillId="0" borderId="13" xfId="0" applyFont="1" applyBorder="1" applyAlignment="1">
      <alignment horizontal="center" textRotation="90"/>
    </xf>
    <xf numFmtId="0" fontId="4" fillId="0" borderId="25" xfId="0" applyFont="1" applyBorder="1" applyAlignment="1">
      <alignment horizontal="center" textRotation="90"/>
    </xf>
    <xf numFmtId="0" fontId="4" fillId="2" borderId="25" xfId="0" applyFont="1" applyFill="1" applyBorder="1" applyAlignment="1">
      <alignment horizontal="center" textRotation="90"/>
    </xf>
    <xf numFmtId="0" fontId="4" fillId="0" borderId="10" xfId="0" applyFont="1" applyBorder="1" applyAlignment="1">
      <alignment horizontal="center" textRotation="90"/>
    </xf>
    <xf numFmtId="0" fontId="4" fillId="0" borderId="13" xfId="0" applyFont="1" applyFill="1" applyBorder="1" applyAlignment="1">
      <alignment horizontal="center" textRotation="90"/>
    </xf>
    <xf numFmtId="0" fontId="4" fillId="2" borderId="0" xfId="0" applyFont="1" applyFill="1" applyBorder="1" applyAlignment="1">
      <alignment horizontal="center" textRotation="90"/>
    </xf>
    <xf numFmtId="0" fontId="4" fillId="0" borderId="31" xfId="0" applyFont="1" applyBorder="1" applyAlignment="1">
      <alignment horizontal="center" textRotation="90"/>
    </xf>
    <xf numFmtId="0" fontId="4" fillId="2" borderId="8" xfId="0" applyFont="1" applyFill="1" applyBorder="1" applyAlignment="1">
      <alignment textRotation="90"/>
    </xf>
    <xf numFmtId="0" fontId="4" fillId="0" borderId="13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0" xfId="0" applyFont="1" applyFill="1" applyBorder="1" applyAlignment="1">
      <alignment horizontal="center" textRotation="90"/>
    </xf>
    <xf numFmtId="0" fontId="4" fillId="0" borderId="0" xfId="0" applyFont="1" applyFill="1" applyBorder="1" applyAlignment="1">
      <alignment textRotation="90"/>
    </xf>
    <xf numFmtId="0" fontId="4" fillId="0" borderId="0" xfId="0" applyFont="1" applyBorder="1" applyAlignment="1">
      <alignment textRotation="90"/>
    </xf>
    <xf numFmtId="0" fontId="4" fillId="0" borderId="0" xfId="0" applyFont="1" applyBorder="1" applyAlignment="1">
      <alignment horizontal="center" textRotation="90"/>
    </xf>
    <xf numFmtId="0" fontId="4" fillId="0" borderId="23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0" borderId="0" xfId="0" applyFont="1" applyFill="1" applyBorder="1"/>
    <xf numFmtId="0" fontId="4" fillId="0" borderId="8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 textRotation="90"/>
    </xf>
    <xf numFmtId="0" fontId="5" fillId="0" borderId="0" xfId="0" applyFont="1" applyBorder="1"/>
    <xf numFmtId="0" fontId="3" fillId="2" borderId="0" xfId="0" applyFont="1" applyFill="1" applyBorder="1" applyAlignment="1">
      <alignment vertical="center"/>
    </xf>
    <xf numFmtId="0" fontId="3" fillId="2" borderId="21" xfId="0" applyFont="1" applyFill="1" applyBorder="1" applyAlignment="1"/>
    <xf numFmtId="0" fontId="3" fillId="2" borderId="10" xfId="0" applyFont="1" applyFill="1" applyBorder="1" applyAlignment="1">
      <alignment vertical="center"/>
    </xf>
    <xf numFmtId="0" fontId="3" fillId="3" borderId="7" xfId="0" applyFont="1" applyFill="1" applyBorder="1"/>
    <xf numFmtId="0" fontId="3" fillId="4" borderId="4" xfId="0" applyFont="1" applyFill="1" applyBorder="1"/>
    <xf numFmtId="0" fontId="3" fillId="6" borderId="4" xfId="0" applyFont="1" applyFill="1" applyBorder="1"/>
    <xf numFmtId="0" fontId="3" fillId="7" borderId="4" xfId="0" applyFont="1" applyFill="1" applyBorder="1"/>
    <xf numFmtId="0" fontId="3" fillId="5" borderId="13" xfId="0" applyFont="1" applyFill="1" applyBorder="1"/>
    <xf numFmtId="0" fontId="3" fillId="8" borderId="13" xfId="0" applyFont="1" applyFill="1" applyBorder="1" applyAlignment="1"/>
    <xf numFmtId="0" fontId="3" fillId="2" borderId="4" xfId="0" applyFont="1" applyFill="1" applyBorder="1"/>
    <xf numFmtId="0" fontId="3" fillId="3" borderId="13" xfId="0" applyFont="1" applyFill="1" applyBorder="1" applyAlignment="1"/>
    <xf numFmtId="0" fontId="3" fillId="4" borderId="13" xfId="0" applyFont="1" applyFill="1" applyBorder="1" applyAlignment="1"/>
    <xf numFmtId="0" fontId="3" fillId="6" borderId="13" xfId="0" applyFont="1" applyFill="1" applyBorder="1" applyAlignment="1"/>
    <xf numFmtId="0" fontId="3" fillId="7" borderId="13" xfId="0" applyFont="1" applyFill="1" applyBorder="1" applyAlignment="1"/>
    <xf numFmtId="0" fontId="3" fillId="2" borderId="9" xfId="0" applyFont="1" applyFill="1" applyBorder="1" applyAlignment="1"/>
    <xf numFmtId="0" fontId="3" fillId="3" borderId="9" xfId="0" applyFont="1" applyFill="1" applyBorder="1" applyAlignment="1"/>
    <xf numFmtId="0" fontId="3" fillId="6" borderId="9" xfId="0" applyFont="1" applyFill="1" applyBorder="1" applyAlignment="1"/>
    <xf numFmtId="0" fontId="3" fillId="2" borderId="9" xfId="0" applyFont="1" applyFill="1" applyBorder="1" applyAlignment="1">
      <alignment horizontal="center" textRotation="90" wrapText="1"/>
    </xf>
    <xf numFmtId="0" fontId="3" fillId="0" borderId="9" xfId="0" applyFont="1" applyBorder="1" applyAlignment="1">
      <alignment horizontal="center" vertical="justify" textRotation="90" wrapText="1"/>
    </xf>
    <xf numFmtId="0" fontId="3" fillId="0" borderId="13" xfId="0" applyFont="1" applyBorder="1" applyAlignment="1">
      <alignment horizontal="center" vertical="justify" textRotation="90" wrapText="1"/>
    </xf>
    <xf numFmtId="0" fontId="3" fillId="2" borderId="9" xfId="0" applyFont="1" applyFill="1" applyBorder="1" applyAlignment="1">
      <alignment horizontal="center" vertical="justify" textRotation="90" wrapText="1"/>
    </xf>
    <xf numFmtId="0" fontId="3" fillId="0" borderId="9" xfId="0" applyFont="1" applyBorder="1" applyAlignment="1">
      <alignment horizontal="center" vertical="justify" textRotation="90"/>
    </xf>
    <xf numFmtId="0" fontId="3" fillId="0" borderId="13" xfId="0" applyFont="1" applyBorder="1" applyAlignment="1">
      <alignment horizontal="center" vertical="justify" textRotation="90"/>
    </xf>
    <xf numFmtId="0" fontId="3" fillId="2" borderId="9" xfId="0" applyFont="1" applyFill="1" applyBorder="1" applyAlignment="1">
      <alignment horizontal="center" vertical="justify" textRotation="90"/>
    </xf>
    <xf numFmtId="0" fontId="3" fillId="2" borderId="21" xfId="0" applyFont="1" applyFill="1" applyBorder="1" applyAlignment="1">
      <alignment horizontal="center" vertical="justify" textRotation="90"/>
    </xf>
    <xf numFmtId="0" fontId="3" fillId="0" borderId="33" xfId="0" applyFont="1" applyBorder="1"/>
    <xf numFmtId="10" fontId="3" fillId="0" borderId="0" xfId="0" applyNumberFormat="1" applyFont="1" applyBorder="1"/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/>
    <xf numFmtId="0" fontId="3" fillId="2" borderId="11" xfId="0" applyFont="1" applyFill="1" applyBorder="1"/>
    <xf numFmtId="0" fontId="3" fillId="0" borderId="35" xfId="0" applyFont="1" applyBorder="1"/>
    <xf numFmtId="0" fontId="3" fillId="0" borderId="35" xfId="0" applyFont="1" applyFill="1" applyBorder="1"/>
    <xf numFmtId="0" fontId="3" fillId="0" borderId="35" xfId="0" applyFont="1" applyBorder="1" applyAlignment="1">
      <alignment horizontal="center"/>
    </xf>
    <xf numFmtId="10" fontId="3" fillId="0" borderId="0" xfId="0" applyNumberFormat="1" applyFont="1" applyBorder="1" applyAlignment="1">
      <alignment horizontal="center"/>
    </xf>
    <xf numFmtId="0" fontId="3" fillId="2" borderId="0" xfId="0" applyFont="1" applyFill="1" applyBorder="1" applyAlignment="1"/>
    <xf numFmtId="0" fontId="3" fillId="2" borderId="11" xfId="0" applyFont="1" applyFill="1" applyBorder="1" applyAlignment="1"/>
    <xf numFmtId="0" fontId="3" fillId="0" borderId="6" xfId="0" applyFont="1" applyBorder="1"/>
    <xf numFmtId="0" fontId="3" fillId="0" borderId="36" xfId="0" applyFont="1" applyBorder="1"/>
    <xf numFmtId="0" fontId="3" fillId="0" borderId="6" xfId="0" applyFont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6" xfId="0" applyFont="1" applyFill="1" applyBorder="1"/>
    <xf numFmtId="0" fontId="3" fillId="2" borderId="12" xfId="0" applyFont="1" applyFill="1" applyBorder="1"/>
    <xf numFmtId="0" fontId="3" fillId="0" borderId="17" xfId="0" applyFont="1" applyBorder="1"/>
    <xf numFmtId="0" fontId="3" fillId="0" borderId="18" xfId="0" applyFont="1" applyBorder="1"/>
    <xf numFmtId="0" fontId="3" fillId="0" borderId="18" xfId="0" applyFont="1" applyBorder="1" applyAlignment="1">
      <alignment horizontal="center"/>
    </xf>
    <xf numFmtId="0" fontId="3" fillId="0" borderId="19" xfId="0" applyFont="1" applyBorder="1"/>
    <xf numFmtId="0" fontId="0" fillId="0" borderId="11" xfId="0" applyBorder="1" applyAlignment="1">
      <alignment horizontal="left"/>
    </xf>
    <xf numFmtId="0" fontId="1" fillId="0" borderId="13" xfId="0" applyFont="1" applyBorder="1" applyAlignment="1">
      <alignment horizontal="center" wrapText="1"/>
    </xf>
    <xf numFmtId="0" fontId="1" fillId="0" borderId="13" xfId="0" applyFont="1" applyBorder="1"/>
    <xf numFmtId="0" fontId="5" fillId="0" borderId="19" xfId="0" applyFont="1" applyBorder="1" applyAlignment="1">
      <alignment horizontal="left"/>
    </xf>
    <xf numFmtId="0" fontId="4" fillId="10" borderId="8" xfId="0" applyFont="1" applyFill="1" applyBorder="1" applyAlignment="1">
      <alignment horizontal="center" textRotation="90"/>
    </xf>
    <xf numFmtId="0" fontId="4" fillId="10" borderId="0" xfId="0" applyFont="1" applyFill="1" applyBorder="1" applyAlignment="1">
      <alignment horizontal="center"/>
    </xf>
    <xf numFmtId="0" fontId="4" fillId="10" borderId="0" xfId="0" applyFont="1" applyFill="1" applyBorder="1" applyAlignment="1">
      <alignment horizontal="left"/>
    </xf>
    <xf numFmtId="0" fontId="4" fillId="10" borderId="10" xfId="0" applyFont="1" applyFill="1" applyBorder="1" applyAlignment="1">
      <alignment horizontal="center"/>
    </xf>
    <xf numFmtId="0" fontId="0" fillId="0" borderId="0" xfId="0" applyBorder="1" applyAlignment="1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9" xfId="0" applyFont="1" applyFill="1" applyBorder="1" applyAlignment="1"/>
    <xf numFmtId="0" fontId="0" fillId="11" borderId="0" xfId="0" applyFill="1" applyBorder="1" applyAlignment="1"/>
    <xf numFmtId="0" fontId="0" fillId="11" borderId="0" xfId="0" applyFill="1" applyBorder="1" applyAlignment="1">
      <alignment horizontal="center" vertical="justify" textRotation="90"/>
    </xf>
    <xf numFmtId="0" fontId="0" fillId="11" borderId="0" xfId="0" applyFill="1" applyBorder="1"/>
    <xf numFmtId="0" fontId="0" fillId="11" borderId="0" xfId="0" applyFill="1" applyBorder="1" applyAlignment="1">
      <alignment horizontal="left"/>
    </xf>
    <xf numFmtId="0" fontId="0" fillId="11" borderId="6" xfId="0" applyFill="1" applyBorder="1"/>
    <xf numFmtId="0" fontId="0" fillId="4" borderId="27" xfId="0" applyFill="1" applyBorder="1" applyAlignment="1"/>
    <xf numFmtId="0" fontId="3" fillId="0" borderId="27" xfId="0" applyFont="1" applyBorder="1" applyAlignment="1">
      <alignment horizontal="center" textRotation="90" wrapText="1"/>
    </xf>
    <xf numFmtId="0" fontId="0" fillId="0" borderId="29" xfId="0" applyBorder="1" applyAlignment="1">
      <alignment horizontal="center"/>
    </xf>
    <xf numFmtId="0" fontId="0" fillId="0" borderId="12" xfId="0" applyBorder="1" applyAlignment="1">
      <alignment horizontal="left"/>
    </xf>
    <xf numFmtId="0" fontId="3" fillId="3" borderId="4" xfId="0" applyFont="1" applyFill="1" applyBorder="1" applyAlignment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11" borderId="0" xfId="0" applyFont="1" applyFill="1" applyBorder="1" applyAlignment="1">
      <alignment horizontal="center"/>
    </xf>
    <xf numFmtId="0" fontId="0" fillId="11" borderId="7" xfId="0" applyFill="1" applyBorder="1" applyAlignment="1"/>
    <xf numFmtId="0" fontId="1" fillId="11" borderId="0" xfId="0" applyFont="1" applyFill="1" applyBorder="1" applyAlignment="1">
      <alignment horizontal="left"/>
    </xf>
    <xf numFmtId="0" fontId="1" fillId="11" borderId="6" xfId="0" applyFont="1" applyFill="1" applyBorder="1" applyAlignment="1">
      <alignment horizontal="left"/>
    </xf>
    <xf numFmtId="0" fontId="1" fillId="0" borderId="0" xfId="0" applyFont="1" applyFill="1" applyBorder="1" applyAlignment="1">
      <alignment wrapText="1"/>
    </xf>
    <xf numFmtId="0" fontId="0" fillId="2" borderId="31" xfId="0" applyFill="1" applyBorder="1" applyAlignment="1"/>
    <xf numFmtId="0" fontId="3" fillId="11" borderId="9" xfId="0" applyFont="1" applyFill="1" applyBorder="1" applyAlignment="1">
      <alignment horizontal="center" textRotation="90" wrapText="1"/>
    </xf>
    <xf numFmtId="0" fontId="0" fillId="11" borderId="10" xfId="0" applyFill="1" applyBorder="1" applyAlignment="1"/>
    <xf numFmtId="0" fontId="0" fillId="11" borderId="16" xfId="0" applyFill="1" applyBorder="1" applyAlignment="1"/>
    <xf numFmtId="0" fontId="0" fillId="11" borderId="6" xfId="0" applyFill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/>
    <xf numFmtId="0" fontId="3" fillId="0" borderId="0" xfId="0" applyFon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4" borderId="4" xfId="0" applyFill="1" applyBorder="1" applyAlignment="1"/>
    <xf numFmtId="0" fontId="0" fillId="0" borderId="0" xfId="0" applyFill="1" applyBorder="1" applyAlignment="1">
      <alignment horizontal="center"/>
    </xf>
    <xf numFmtId="0" fontId="0" fillId="3" borderId="9" xfId="0" applyFill="1" applyBorder="1" applyAlignment="1"/>
    <xf numFmtId="0" fontId="1" fillId="0" borderId="0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4" fillId="0" borderId="0" xfId="0" applyFont="1" applyBorder="1" applyAlignment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2" xfId="0" applyFont="1" applyBorder="1" applyAlignment="1">
      <alignment horizontal="center" wrapText="1"/>
    </xf>
    <xf numFmtId="0" fontId="4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0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0" fillId="0" borderId="8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11" borderId="0" xfId="0" applyFont="1" applyFill="1" applyBorder="1" applyAlignment="1"/>
    <xf numFmtId="0" fontId="1" fillId="11" borderId="9" xfId="0" applyFont="1" applyFill="1" applyBorder="1" applyAlignment="1">
      <alignment wrapText="1"/>
    </xf>
    <xf numFmtId="0" fontId="1" fillId="11" borderId="13" xfId="0" applyFont="1" applyFill="1" applyBorder="1" applyAlignment="1">
      <alignment horizontal="left"/>
    </xf>
    <xf numFmtId="0" fontId="0" fillId="2" borderId="10" xfId="0" applyFill="1" applyBorder="1" applyAlignment="1">
      <alignment horizontal="center"/>
    </xf>
    <xf numFmtId="0" fontId="0" fillId="11" borderId="16" xfId="0" applyFill="1" applyBorder="1"/>
    <xf numFmtId="0" fontId="0" fillId="2" borderId="26" xfId="0" applyFill="1" applyBorder="1" applyAlignment="1"/>
    <xf numFmtId="0" fontId="1" fillId="0" borderId="5" xfId="0" applyFont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5" fillId="11" borderId="9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textRotation="90"/>
    </xf>
    <xf numFmtId="0" fontId="4" fillId="0" borderId="0" xfId="0" applyFont="1" applyFill="1"/>
    <xf numFmtId="0" fontId="4" fillId="0" borderId="31" xfId="0" applyFont="1" applyFill="1" applyBorder="1" applyAlignment="1">
      <alignment horizontal="center" textRotation="90"/>
    </xf>
    <xf numFmtId="0" fontId="4" fillId="11" borderId="10" xfId="0" applyFont="1" applyFill="1" applyBorder="1" applyAlignment="1">
      <alignment horizontal="center" wrapText="1"/>
    </xf>
    <xf numFmtId="0" fontId="5" fillId="0" borderId="0" xfId="0" applyFont="1" applyFill="1" applyBorder="1"/>
    <xf numFmtId="0" fontId="5" fillId="0" borderId="0" xfId="0" applyFont="1" applyFill="1" applyBorder="1" applyAlignment="1"/>
    <xf numFmtId="0" fontId="4" fillId="0" borderId="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11" borderId="16" xfId="0" applyFont="1" applyFill="1" applyBorder="1" applyAlignment="1"/>
    <xf numFmtId="0" fontId="4" fillId="11" borderId="0" xfId="0" applyFont="1" applyFill="1" applyBorder="1" applyAlignment="1"/>
    <xf numFmtId="0" fontId="4" fillId="11" borderId="10" xfId="0" applyFont="1" applyFill="1" applyBorder="1" applyAlignment="1"/>
    <xf numFmtId="0" fontId="5" fillId="11" borderId="7" xfId="0" applyFont="1" applyFill="1" applyBorder="1" applyAlignment="1">
      <alignment horizontal="left"/>
    </xf>
    <xf numFmtId="0" fontId="4" fillId="11" borderId="0" xfId="0" applyFont="1" applyFill="1" applyBorder="1" applyAlignment="1">
      <alignment horizontal="left"/>
    </xf>
    <xf numFmtId="0" fontId="5" fillId="11" borderId="0" xfId="0" applyFont="1" applyFill="1" applyBorder="1" applyAlignment="1">
      <alignment horizontal="left"/>
    </xf>
    <xf numFmtId="0" fontId="5" fillId="11" borderId="6" xfId="0" applyFont="1" applyFill="1" applyBorder="1" applyAlignment="1">
      <alignment horizontal="left"/>
    </xf>
    <xf numFmtId="0" fontId="3" fillId="11" borderId="15" xfId="0" applyFont="1" applyFill="1" applyBorder="1" applyAlignment="1">
      <alignment horizontal="center"/>
    </xf>
    <xf numFmtId="0" fontId="0" fillId="11" borderId="10" xfId="0" applyFill="1" applyBorder="1" applyAlignment="1">
      <alignment wrapText="1"/>
    </xf>
    <xf numFmtId="0" fontId="3" fillId="11" borderId="13" xfId="0" applyFont="1" applyFill="1" applyBorder="1" applyAlignment="1">
      <alignment horizontal="center" textRotation="90" wrapText="1"/>
    </xf>
    <xf numFmtId="0" fontId="0" fillId="11" borderId="0" xfId="0" applyFill="1" applyBorder="1" applyAlignment="1">
      <alignment horizontal="center"/>
    </xf>
    <xf numFmtId="0" fontId="3" fillId="11" borderId="32" xfId="0" applyFont="1" applyFill="1" applyBorder="1" applyAlignment="1">
      <alignment horizontal="center"/>
    </xf>
    <xf numFmtId="0" fontId="0" fillId="8" borderId="4" xfId="0" applyFill="1" applyBorder="1" applyAlignment="1"/>
    <xf numFmtId="0" fontId="3" fillId="11" borderId="0" xfId="0" applyFont="1" applyFill="1" applyBorder="1" applyAlignment="1">
      <alignment horizontal="center" textRotation="90" wrapText="1"/>
    </xf>
    <xf numFmtId="0" fontId="4" fillId="10" borderId="11" xfId="0" applyFont="1" applyFill="1" applyBorder="1" applyAlignment="1">
      <alignment horizontal="center"/>
    </xf>
    <xf numFmtId="0" fontId="4" fillId="10" borderId="11" xfId="0" applyFont="1" applyFill="1" applyBorder="1" applyAlignment="1">
      <alignment horizontal="left"/>
    </xf>
    <xf numFmtId="0" fontId="4" fillId="10" borderId="12" xfId="0" applyFont="1" applyFill="1" applyBorder="1" applyAlignment="1">
      <alignment horizontal="center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center"/>
    </xf>
    <xf numFmtId="0" fontId="0" fillId="11" borderId="0" xfId="0" applyFill="1" applyBorder="1" applyAlignment="1">
      <alignment horizontal="left"/>
    </xf>
    <xf numFmtId="0" fontId="0" fillId="11" borderId="0" xfId="0" applyFill="1" applyBorder="1" applyAlignment="1">
      <alignment horizontal="center"/>
    </xf>
    <xf numFmtId="0" fontId="3" fillId="0" borderId="4" xfId="0" applyFont="1" applyFill="1" applyBorder="1" applyAlignment="1">
      <alignment horizontal="center" textRotation="90"/>
    </xf>
    <xf numFmtId="0" fontId="0" fillId="0" borderId="0" xfId="0" applyFill="1" applyBorder="1" applyAlignment="1"/>
    <xf numFmtId="0" fontId="0" fillId="0" borderId="6" xfId="0" applyFill="1" applyBorder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/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 applyAlignment="1">
      <alignment horizontal="left"/>
    </xf>
    <xf numFmtId="0" fontId="0" fillId="0" borderId="0" xfId="0" applyFill="1" applyBorder="1" applyAlignment="1"/>
    <xf numFmtId="0" fontId="1" fillId="0" borderId="2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3" fillId="0" borderId="7" xfId="0" applyFont="1" applyBorder="1" applyAlignment="1"/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1" fillId="0" borderId="22" xfId="0" applyFont="1" applyFill="1" applyBorder="1" applyAlignment="1">
      <alignment horizontal="center"/>
    </xf>
    <xf numFmtId="0" fontId="3" fillId="0" borderId="10" xfId="0" applyFont="1" applyFill="1" applyBorder="1" applyAlignment="1">
      <alignment horizontal="center"/>
    </xf>
    <xf numFmtId="0" fontId="3" fillId="0" borderId="4" xfId="0" applyFont="1" applyBorder="1" applyAlignment="1"/>
    <xf numFmtId="0" fontId="0" fillId="0" borderId="22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0" fontId="0" fillId="0" borderId="22" xfId="0" applyBorder="1" applyAlignment="1"/>
    <xf numFmtId="0" fontId="0" fillId="0" borderId="10" xfId="0" applyBorder="1" applyAlignment="1"/>
    <xf numFmtId="0" fontId="1" fillId="0" borderId="0" xfId="0" applyFont="1" applyBorder="1" applyAlignment="1">
      <alignment horizontal="center"/>
    </xf>
    <xf numFmtId="0" fontId="0" fillId="0" borderId="29" xfId="0" applyBorder="1" applyAlignment="1"/>
    <xf numFmtId="0" fontId="1" fillId="0" borderId="26" xfId="0" applyFont="1" applyBorder="1" applyAlignment="1">
      <alignment horizontal="center"/>
    </xf>
    <xf numFmtId="0" fontId="1" fillId="0" borderId="3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40" xfId="0" applyFont="1" applyBorder="1" applyAlignment="1">
      <alignment wrapText="1"/>
    </xf>
    <xf numFmtId="0" fontId="0" fillId="7" borderId="4" xfId="0" applyFill="1" applyBorder="1" applyAlignment="1"/>
    <xf numFmtId="0" fontId="0" fillId="0" borderId="9" xfId="0" applyBorder="1" applyAlignment="1"/>
    <xf numFmtId="0" fontId="3" fillId="0" borderId="3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8" xfId="0" applyFont="1" applyBorder="1" applyAlignment="1"/>
    <xf numFmtId="0" fontId="3" fillId="0" borderId="0" xfId="0" applyFont="1" applyBorder="1" applyAlignment="1"/>
    <xf numFmtId="0" fontId="3" fillId="0" borderId="30" xfId="0" applyFont="1" applyBorder="1" applyAlignment="1"/>
    <xf numFmtId="0" fontId="0" fillId="3" borderId="4" xfId="0" applyFill="1" applyBorder="1" applyAlignment="1"/>
    <xf numFmtId="0" fontId="0" fillId="3" borderId="9" xfId="0" applyFill="1" applyBorder="1" applyAlignment="1"/>
    <xf numFmtId="0" fontId="0" fillId="4" borderId="4" xfId="0" applyFill="1" applyBorder="1" applyAlignment="1"/>
    <xf numFmtId="0" fontId="0" fillId="4" borderId="9" xfId="0" applyFill="1" applyBorder="1" applyAlignment="1"/>
    <xf numFmtId="0" fontId="0" fillId="6" borderId="4" xfId="0" applyFill="1" applyBorder="1" applyAlignment="1"/>
    <xf numFmtId="0" fontId="0" fillId="6" borderId="9" xfId="0" applyFill="1" applyBorder="1" applyAlignment="1"/>
    <xf numFmtId="0" fontId="0" fillId="7" borderId="9" xfId="0" applyFill="1" applyBorder="1" applyAlignment="1"/>
    <xf numFmtId="0" fontId="3" fillId="9" borderId="4" xfId="0" applyFont="1" applyFill="1" applyBorder="1" applyAlignment="1"/>
    <xf numFmtId="0" fontId="0" fillId="9" borderId="9" xfId="0" applyFill="1" applyBorder="1" applyAlignment="1"/>
    <xf numFmtId="0" fontId="0" fillId="0" borderId="0" xfId="0" applyFill="1" applyBorder="1" applyAlignment="1">
      <alignment wrapText="1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41" xfId="0" applyBorder="1"/>
    <xf numFmtId="0" fontId="0" fillId="0" borderId="23" xfId="0" applyBorder="1"/>
    <xf numFmtId="0" fontId="0" fillId="0" borderId="38" xfId="0" applyBorder="1"/>
    <xf numFmtId="0" fontId="0" fillId="0" borderId="4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6" borderId="4" xfId="0" applyFill="1" applyBorder="1" applyAlignment="1">
      <alignment horizontal="left"/>
    </xf>
    <xf numFmtId="0" fontId="0" fillId="6" borderId="9" xfId="0" applyFill="1" applyBorder="1" applyAlignment="1">
      <alignment horizontal="left"/>
    </xf>
    <xf numFmtId="0" fontId="4" fillId="0" borderId="1" xfId="0" applyFont="1" applyBorder="1" applyAlignment="1">
      <alignment horizontal="left" wrapText="1"/>
    </xf>
    <xf numFmtId="0" fontId="4" fillId="0" borderId="22" xfId="0" applyFont="1" applyBorder="1" applyAlignment="1">
      <alignment horizontal="left" wrapText="1"/>
    </xf>
    <xf numFmtId="0" fontId="1" fillId="0" borderId="22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left" vertical="center"/>
    </xf>
    <xf numFmtId="0" fontId="0" fillId="0" borderId="10" xfId="0" applyBorder="1" applyAlignment="1">
      <alignment horizontal="left"/>
    </xf>
    <xf numFmtId="0" fontId="0" fillId="3" borderId="20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3" borderId="7" xfId="0" applyFill="1" applyBorder="1" applyAlignment="1"/>
    <xf numFmtId="0" fontId="3" fillId="0" borderId="42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3" xfId="0" applyFont="1" applyFill="1" applyBorder="1" applyAlignment="1">
      <alignment wrapText="1"/>
    </xf>
    <xf numFmtId="0" fontId="1" fillId="0" borderId="21" xfId="0" applyFont="1" applyBorder="1" applyAlignment="1">
      <alignment horizontal="center"/>
    </xf>
    <xf numFmtId="0" fontId="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3" fillId="0" borderId="14" xfId="0" applyFont="1" applyFill="1" applyBorder="1" applyAlignment="1">
      <alignment horizontal="center" wrapText="1"/>
    </xf>
    <xf numFmtId="0" fontId="0" fillId="0" borderId="3" xfId="0" applyFill="1" applyBorder="1" applyAlignment="1">
      <alignment horizontal="center" wrapText="1"/>
    </xf>
    <xf numFmtId="0" fontId="0" fillId="0" borderId="38" xfId="0" applyFill="1" applyBorder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4" fillId="0" borderId="39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5" fillId="0" borderId="4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4" fillId="0" borderId="8" xfId="0" applyFont="1" applyFill="1" applyBorder="1" applyAlignment="1">
      <alignment wrapText="1"/>
    </xf>
    <xf numFmtId="0" fontId="4" fillId="0" borderId="30" xfId="0" applyFont="1" applyFill="1" applyBorder="1" applyAlignment="1">
      <alignment wrapText="1"/>
    </xf>
    <xf numFmtId="0" fontId="4" fillId="0" borderId="22" xfId="0" applyFont="1" applyFill="1" applyBorder="1" applyAlignment="1">
      <alignment wrapText="1"/>
    </xf>
    <xf numFmtId="0" fontId="4" fillId="0" borderId="31" xfId="0" applyFont="1" applyFill="1" applyBorder="1" applyAlignment="1">
      <alignment wrapText="1"/>
    </xf>
    <xf numFmtId="0" fontId="5" fillId="0" borderId="9" xfId="0" applyFont="1" applyBorder="1" applyAlignment="1">
      <alignment horizontal="center"/>
    </xf>
    <xf numFmtId="0" fontId="4" fillId="0" borderId="22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4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4" fillId="0" borderId="22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4" fillId="0" borderId="8" xfId="0" applyFont="1" applyBorder="1" applyAlignment="1"/>
    <xf numFmtId="0" fontId="4" fillId="0" borderId="0" xfId="0" applyFont="1" applyBorder="1" applyAlignment="1"/>
    <xf numFmtId="0" fontId="4" fillId="0" borderId="22" xfId="0" applyFont="1" applyBorder="1" applyAlignment="1"/>
    <xf numFmtId="0" fontId="4" fillId="0" borderId="10" xfId="0" applyFont="1" applyBorder="1" applyAlignment="1"/>
    <xf numFmtId="0" fontId="4" fillId="0" borderId="22" xfId="0" applyFont="1" applyFill="1" applyBorder="1" applyAlignment="1">
      <alignment horizontal="center"/>
    </xf>
    <xf numFmtId="0" fontId="4" fillId="0" borderId="31" xfId="0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34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0" borderId="0" xfId="0" applyFont="1" applyFill="1" applyBorder="1" applyAlignment="1"/>
    <xf numFmtId="0" fontId="4" fillId="0" borderId="8" xfId="0" applyFont="1" applyBorder="1" applyAlignment="1">
      <alignment horizontal="center" wrapText="1"/>
    </xf>
    <xf numFmtId="0" fontId="4" fillId="0" borderId="30" xfId="0" applyFont="1" applyBorder="1" applyAlignment="1">
      <alignment horizontal="center" wrapText="1"/>
    </xf>
    <xf numFmtId="0" fontId="4" fillId="0" borderId="31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37" xfId="0" applyFont="1" applyBorder="1" applyAlignment="1"/>
    <xf numFmtId="0" fontId="4" fillId="0" borderId="23" xfId="0" applyFont="1" applyBorder="1" applyAlignment="1"/>
    <xf numFmtId="0" fontId="4" fillId="0" borderId="38" xfId="0" applyFont="1" applyBorder="1" applyAlignment="1"/>
    <xf numFmtId="0" fontId="4" fillId="0" borderId="0" xfId="0" applyFont="1" applyFill="1" applyBorder="1" applyAlignment="1">
      <alignment wrapText="1"/>
    </xf>
    <xf numFmtId="0" fontId="4" fillId="0" borderId="22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5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65"/>
  <sheetViews>
    <sheetView view="pageLayout" topLeftCell="A4" zoomScaleNormal="100" workbookViewId="0">
      <selection activeCell="X15" sqref="X15"/>
    </sheetView>
  </sheetViews>
  <sheetFormatPr defaultRowHeight="12.75" x14ac:dyDescent="0.2"/>
  <cols>
    <col min="1" max="1" width="7.28515625" customWidth="1"/>
    <col min="2" max="2" width="9.42578125" customWidth="1"/>
    <col min="3" max="3" width="6.7109375" customWidth="1"/>
    <col min="4" max="4" width="11.42578125" customWidth="1"/>
    <col min="5" max="5" width="0.5703125" customWidth="1"/>
    <col min="6" max="11" width="5.140625" customWidth="1"/>
    <col min="12" max="12" width="0.5703125" customWidth="1"/>
    <col min="13" max="16" width="5.140625" customWidth="1"/>
    <col min="17" max="17" width="0.5703125" customWidth="1"/>
    <col min="18" max="22" width="5.140625" customWidth="1"/>
    <col min="23" max="23" width="0.5703125" customWidth="1"/>
    <col min="24" max="28" width="5.140625" customWidth="1"/>
    <col min="29" max="29" width="0.5703125" customWidth="1"/>
    <col min="30" max="31" width="5.140625" customWidth="1"/>
    <col min="32" max="32" width="0.5703125" customWidth="1"/>
    <col min="33" max="34" width="5.140625" customWidth="1"/>
    <col min="35" max="35" width="5.5703125" customWidth="1"/>
    <col min="36" max="36" width="0.5703125" customWidth="1"/>
    <col min="37" max="37" width="5.140625" customWidth="1"/>
    <col min="38" max="38" width="5" customWidth="1"/>
    <col min="39" max="39" width="3.5703125" customWidth="1"/>
    <col min="40" max="40" width="3.28515625" customWidth="1"/>
    <col min="41" max="41" width="4" customWidth="1"/>
    <col min="42" max="42" width="3.5703125" customWidth="1"/>
    <col min="43" max="43" width="3.7109375" customWidth="1"/>
    <col min="44" max="44" width="4.7109375" customWidth="1"/>
  </cols>
  <sheetData>
    <row r="1" spans="1:45" x14ac:dyDescent="0.2">
      <c r="A1" s="296"/>
      <c r="B1" s="297"/>
      <c r="C1" s="297"/>
      <c r="D1" s="298"/>
      <c r="E1" s="273"/>
      <c r="F1" s="305" t="s">
        <v>157</v>
      </c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  <c r="AA1" s="306"/>
      <c r="AB1" s="306"/>
      <c r="AC1" s="306"/>
      <c r="AD1" s="306"/>
      <c r="AE1" s="306"/>
      <c r="AF1" s="306"/>
      <c r="AG1" s="306"/>
      <c r="AH1" s="306"/>
      <c r="AI1" s="306"/>
      <c r="AJ1" s="306"/>
      <c r="AK1" s="306"/>
      <c r="AL1" s="307"/>
    </row>
    <row r="2" spans="1:45" ht="17.25" customHeight="1" x14ac:dyDescent="0.2">
      <c r="A2" s="299"/>
      <c r="B2" s="300"/>
      <c r="C2" s="300"/>
      <c r="D2" s="301"/>
      <c r="E2" s="165"/>
      <c r="F2" s="312" t="s">
        <v>28</v>
      </c>
      <c r="G2" s="313"/>
      <c r="H2" s="313"/>
      <c r="I2" s="313"/>
      <c r="J2" s="313"/>
      <c r="K2" s="313"/>
      <c r="L2" s="313"/>
      <c r="M2" s="313"/>
      <c r="N2" s="313"/>
      <c r="O2" s="313"/>
      <c r="P2" s="313"/>
      <c r="Q2" s="313"/>
      <c r="R2" s="313"/>
      <c r="S2" s="313"/>
      <c r="T2" s="313"/>
      <c r="U2" s="313"/>
      <c r="V2" s="314"/>
      <c r="W2" s="172"/>
      <c r="X2" s="319" t="s">
        <v>1</v>
      </c>
      <c r="Y2" s="320"/>
      <c r="Z2" s="320"/>
      <c r="AA2" s="320"/>
      <c r="AB2" s="320"/>
      <c r="AC2" s="320"/>
      <c r="AD2" s="320"/>
      <c r="AE2" s="320"/>
      <c r="AF2" s="214"/>
      <c r="AG2" s="312" t="s">
        <v>3</v>
      </c>
      <c r="AH2" s="313"/>
      <c r="AI2" s="313"/>
      <c r="AJ2" s="313"/>
      <c r="AK2" s="313"/>
      <c r="AL2" s="328"/>
      <c r="AM2" s="5"/>
      <c r="AN2" s="5"/>
      <c r="AO2" s="5"/>
      <c r="AP2" s="5"/>
      <c r="AQ2" s="5"/>
      <c r="AR2" s="5"/>
    </row>
    <row r="3" spans="1:45" ht="27" customHeight="1" x14ac:dyDescent="0.2">
      <c r="A3" s="299"/>
      <c r="B3" s="300"/>
      <c r="C3" s="300"/>
      <c r="D3" s="301"/>
      <c r="E3" s="138"/>
      <c r="F3" s="315" t="s">
        <v>78</v>
      </c>
      <c r="G3" s="315"/>
      <c r="H3" s="315"/>
      <c r="I3" s="315"/>
      <c r="J3" s="315"/>
      <c r="K3" s="315"/>
      <c r="L3" s="25"/>
      <c r="M3" s="321" t="s">
        <v>29</v>
      </c>
      <c r="N3" s="315"/>
      <c r="O3" s="315"/>
      <c r="P3" s="315"/>
      <c r="Q3" s="25"/>
      <c r="R3" s="321" t="s">
        <v>30</v>
      </c>
      <c r="S3" s="315"/>
      <c r="T3" s="315"/>
      <c r="U3" s="315"/>
      <c r="V3" s="315"/>
      <c r="W3" s="139"/>
      <c r="X3" s="324" t="s">
        <v>31</v>
      </c>
      <c r="Y3" s="325"/>
      <c r="Z3" s="325"/>
      <c r="AA3" s="325"/>
      <c r="AB3" s="325"/>
      <c r="AC3" s="202"/>
      <c r="AD3" s="322" t="s">
        <v>32</v>
      </c>
      <c r="AE3" s="323"/>
      <c r="AF3" s="205"/>
      <c r="AG3" s="316" t="s">
        <v>68</v>
      </c>
      <c r="AH3" s="317"/>
      <c r="AI3" s="318"/>
      <c r="AJ3" s="204"/>
      <c r="AK3" s="321" t="s">
        <v>22</v>
      </c>
      <c r="AL3" s="327"/>
      <c r="AM3" s="5"/>
      <c r="AN3" s="5"/>
      <c r="AO3" s="5"/>
      <c r="AP3" s="1"/>
      <c r="AQ3" s="1"/>
      <c r="AR3" s="1"/>
    </row>
    <row r="4" spans="1:45" ht="16.899999999999999" customHeight="1" x14ac:dyDescent="0.2">
      <c r="A4" s="302"/>
      <c r="B4" s="303"/>
      <c r="C4" s="303"/>
      <c r="D4" s="304"/>
      <c r="E4" s="140"/>
      <c r="F4" s="141" t="s">
        <v>11</v>
      </c>
      <c r="G4" s="142" t="s">
        <v>12</v>
      </c>
      <c r="H4" s="143" t="s">
        <v>20</v>
      </c>
      <c r="I4" s="144" t="s">
        <v>21</v>
      </c>
      <c r="J4" s="145" t="s">
        <v>18</v>
      </c>
      <c r="K4" s="146" t="s">
        <v>19</v>
      </c>
      <c r="L4" s="147"/>
      <c r="M4" s="148" t="s">
        <v>11</v>
      </c>
      <c r="N4" s="149" t="s">
        <v>12</v>
      </c>
      <c r="O4" s="150" t="s">
        <v>20</v>
      </c>
      <c r="P4" s="151" t="s">
        <v>21</v>
      </c>
      <c r="Q4" s="152"/>
      <c r="R4" s="153" t="s">
        <v>11</v>
      </c>
      <c r="S4" s="149" t="s">
        <v>12</v>
      </c>
      <c r="T4" s="154" t="s">
        <v>20</v>
      </c>
      <c r="U4" s="151" t="s">
        <v>21</v>
      </c>
      <c r="V4" s="201" t="s">
        <v>154</v>
      </c>
      <c r="W4" s="139"/>
      <c r="X4" s="72" t="s">
        <v>14</v>
      </c>
      <c r="Y4" s="73" t="s">
        <v>12</v>
      </c>
      <c r="Z4" s="78" t="s">
        <v>21</v>
      </c>
      <c r="AA4" s="74" t="s">
        <v>18</v>
      </c>
      <c r="AB4" s="79" t="s">
        <v>19</v>
      </c>
      <c r="AC4" s="202"/>
      <c r="AD4" s="231" t="s">
        <v>69</v>
      </c>
      <c r="AE4" s="229" t="s">
        <v>12</v>
      </c>
      <c r="AF4" s="202"/>
      <c r="AG4" s="75" t="s">
        <v>11</v>
      </c>
      <c r="AH4" s="229" t="s">
        <v>12</v>
      </c>
      <c r="AI4" s="77" t="s">
        <v>20</v>
      </c>
      <c r="AJ4" s="274"/>
      <c r="AK4" s="211" t="s">
        <v>69</v>
      </c>
      <c r="AL4" s="207" t="s">
        <v>12</v>
      </c>
      <c r="AM4" s="1"/>
      <c r="AN4" s="1"/>
      <c r="AO4" s="3"/>
      <c r="AP4" s="1"/>
      <c r="AQ4" s="1"/>
      <c r="AR4" s="1"/>
      <c r="AS4" s="3"/>
    </row>
    <row r="5" spans="1:45" ht="96.6" customHeight="1" x14ac:dyDescent="0.2">
      <c r="A5" s="22" t="s">
        <v>74</v>
      </c>
      <c r="B5" s="185" t="s">
        <v>60</v>
      </c>
      <c r="C5" s="185" t="s">
        <v>59</v>
      </c>
      <c r="D5" s="186" t="s">
        <v>115</v>
      </c>
      <c r="E5" s="155"/>
      <c r="F5" s="156" t="s">
        <v>141</v>
      </c>
      <c r="G5" s="157" t="s">
        <v>142</v>
      </c>
      <c r="H5" s="157" t="s">
        <v>143</v>
      </c>
      <c r="I5" s="157" t="s">
        <v>144</v>
      </c>
      <c r="J5" s="157" t="s">
        <v>145</v>
      </c>
      <c r="K5" s="157" t="s">
        <v>146</v>
      </c>
      <c r="L5" s="158"/>
      <c r="M5" s="159" t="s">
        <v>147</v>
      </c>
      <c r="N5" s="160" t="s">
        <v>148</v>
      </c>
      <c r="O5" s="160" t="s">
        <v>149</v>
      </c>
      <c r="P5" s="160" t="s">
        <v>24</v>
      </c>
      <c r="Q5" s="161"/>
      <c r="R5" s="159" t="s">
        <v>150</v>
      </c>
      <c r="S5" s="160" t="s">
        <v>151</v>
      </c>
      <c r="T5" s="160" t="s">
        <v>152</v>
      </c>
      <c r="U5" s="160" t="s">
        <v>153</v>
      </c>
      <c r="V5" s="160" t="s">
        <v>155</v>
      </c>
      <c r="W5" s="162"/>
      <c r="X5" s="35" t="s">
        <v>83</v>
      </c>
      <c r="Y5" s="35" t="s">
        <v>84</v>
      </c>
      <c r="Z5" s="35" t="s">
        <v>85</v>
      </c>
      <c r="AA5" s="35" t="s">
        <v>86</v>
      </c>
      <c r="AB5" s="38" t="s">
        <v>87</v>
      </c>
      <c r="AC5" s="203"/>
      <c r="AD5" s="34" t="s">
        <v>33</v>
      </c>
      <c r="AE5" s="35" t="s">
        <v>88</v>
      </c>
      <c r="AF5" s="203"/>
      <c r="AG5" s="40" t="s">
        <v>90</v>
      </c>
      <c r="AH5" s="40" t="s">
        <v>91</v>
      </c>
      <c r="AI5" s="38" t="s">
        <v>92</v>
      </c>
      <c r="AJ5" s="275"/>
      <c r="AK5" s="38" t="s">
        <v>13</v>
      </c>
      <c r="AL5" s="208" t="s">
        <v>89</v>
      </c>
      <c r="AM5" s="2"/>
      <c r="AN5" s="2"/>
      <c r="AO5" s="2"/>
      <c r="AP5" s="2"/>
      <c r="AQ5" s="2"/>
      <c r="AR5" s="2"/>
    </row>
    <row r="6" spans="1:45" ht="15.75" customHeight="1" x14ac:dyDescent="0.2">
      <c r="A6" s="180">
        <v>327</v>
      </c>
      <c r="B6" s="164">
        <f>SUM(C6/A6)</f>
        <v>0.6116207951070336</v>
      </c>
      <c r="C6" s="163">
        <v>200</v>
      </c>
      <c r="D6" s="163" t="s">
        <v>0</v>
      </c>
      <c r="E6" s="165"/>
      <c r="F6" s="7">
        <v>164</v>
      </c>
      <c r="G6" s="7">
        <v>32</v>
      </c>
      <c r="H6" s="7">
        <v>0</v>
      </c>
      <c r="I6" s="7">
        <v>0</v>
      </c>
      <c r="J6" s="7">
        <v>1</v>
      </c>
      <c r="K6" s="7">
        <v>0</v>
      </c>
      <c r="L6" s="165"/>
      <c r="M6" s="7">
        <v>159</v>
      </c>
      <c r="N6" s="7">
        <v>28</v>
      </c>
      <c r="O6" s="7">
        <v>5</v>
      </c>
      <c r="P6" s="12">
        <v>0</v>
      </c>
      <c r="Q6" s="166"/>
      <c r="R6" s="12">
        <v>159</v>
      </c>
      <c r="S6" s="12">
        <v>25</v>
      </c>
      <c r="T6" s="12">
        <v>3</v>
      </c>
      <c r="U6" s="12">
        <v>2</v>
      </c>
      <c r="V6" s="12">
        <v>2</v>
      </c>
      <c r="W6" s="167"/>
      <c r="X6" s="41">
        <v>157</v>
      </c>
      <c r="Y6" s="13">
        <v>32</v>
      </c>
      <c r="Z6" s="13">
        <v>3</v>
      </c>
      <c r="AA6" s="13">
        <v>2</v>
      </c>
      <c r="AB6" s="13">
        <v>2</v>
      </c>
      <c r="AC6" s="204"/>
      <c r="AD6" s="224">
        <v>166</v>
      </c>
      <c r="AE6" s="224">
        <v>28</v>
      </c>
      <c r="AF6" s="204"/>
      <c r="AG6" s="19">
        <v>167</v>
      </c>
      <c r="AH6" s="224">
        <v>22</v>
      </c>
      <c r="AI6" s="224">
        <v>5</v>
      </c>
      <c r="AJ6" s="276"/>
      <c r="AK6" s="19">
        <v>155</v>
      </c>
      <c r="AL6" s="209">
        <v>28</v>
      </c>
      <c r="AM6" s="3"/>
      <c r="AN6" s="3"/>
      <c r="AO6" s="3"/>
      <c r="AP6" s="3"/>
      <c r="AQ6" s="3"/>
      <c r="AR6" s="3"/>
    </row>
    <row r="7" spans="1:45" ht="15.75" customHeight="1" x14ac:dyDescent="0.2">
      <c r="A7" s="181">
        <v>414</v>
      </c>
      <c r="B7" s="164">
        <f t="shared" ref="B7:B23" si="0">SUM(C7/A7)</f>
        <v>0.63285024154589375</v>
      </c>
      <c r="C7" s="168">
        <v>262</v>
      </c>
      <c r="D7" s="168" t="s">
        <v>46</v>
      </c>
      <c r="E7" s="165"/>
      <c r="F7" s="7">
        <v>171</v>
      </c>
      <c r="G7" s="7">
        <v>84</v>
      </c>
      <c r="H7" s="7">
        <v>1</v>
      </c>
      <c r="I7" s="7">
        <v>0</v>
      </c>
      <c r="J7" s="7">
        <v>1</v>
      </c>
      <c r="K7" s="7">
        <v>0</v>
      </c>
      <c r="L7" s="165"/>
      <c r="M7" s="12">
        <v>168</v>
      </c>
      <c r="N7" s="12">
        <v>86</v>
      </c>
      <c r="O7" s="12">
        <v>3</v>
      </c>
      <c r="P7" s="12">
        <v>2</v>
      </c>
      <c r="Q7" s="166"/>
      <c r="R7" s="12">
        <v>171</v>
      </c>
      <c r="S7" s="12">
        <v>76</v>
      </c>
      <c r="T7" s="12">
        <v>4</v>
      </c>
      <c r="U7" s="12">
        <v>3</v>
      </c>
      <c r="V7" s="12">
        <v>5</v>
      </c>
      <c r="W7" s="167"/>
      <c r="X7" s="37">
        <v>177</v>
      </c>
      <c r="Y7" s="13">
        <v>79</v>
      </c>
      <c r="Z7" s="13">
        <v>2</v>
      </c>
      <c r="AA7" s="13">
        <v>0</v>
      </c>
      <c r="AB7" s="13">
        <v>2</v>
      </c>
      <c r="AC7" s="204"/>
      <c r="AD7" s="224">
        <v>184</v>
      </c>
      <c r="AE7" s="224">
        <v>75</v>
      </c>
      <c r="AF7" s="204"/>
      <c r="AG7" s="243">
        <v>180</v>
      </c>
      <c r="AH7" s="224">
        <v>75</v>
      </c>
      <c r="AI7" s="224">
        <v>3</v>
      </c>
      <c r="AJ7" s="276"/>
      <c r="AK7" s="243">
        <v>170</v>
      </c>
      <c r="AL7" s="244">
        <v>80</v>
      </c>
      <c r="AM7" s="3"/>
      <c r="AN7" s="3"/>
      <c r="AO7" s="3"/>
      <c r="AP7" s="3"/>
      <c r="AQ7" s="3"/>
      <c r="AR7" s="3"/>
    </row>
    <row r="8" spans="1:45" ht="15.75" customHeight="1" x14ac:dyDescent="0.2">
      <c r="A8" s="181">
        <v>374</v>
      </c>
      <c r="B8" s="164">
        <f t="shared" si="0"/>
        <v>0.60695187165775399</v>
      </c>
      <c r="C8" s="168">
        <v>227</v>
      </c>
      <c r="D8" s="168" t="s">
        <v>47</v>
      </c>
      <c r="E8" s="165"/>
      <c r="F8" s="7">
        <v>161</v>
      </c>
      <c r="G8" s="7">
        <v>55</v>
      </c>
      <c r="H8" s="7">
        <v>2</v>
      </c>
      <c r="I8" s="7">
        <v>3</v>
      </c>
      <c r="J8" s="7">
        <v>1</v>
      </c>
      <c r="K8" s="7">
        <v>3</v>
      </c>
      <c r="L8" s="165"/>
      <c r="M8" s="7">
        <v>139</v>
      </c>
      <c r="N8" s="7">
        <v>59</v>
      </c>
      <c r="O8" s="7">
        <v>7</v>
      </c>
      <c r="P8" s="12">
        <v>9</v>
      </c>
      <c r="Q8" s="166"/>
      <c r="R8" s="12">
        <v>151</v>
      </c>
      <c r="S8" s="12">
        <v>52</v>
      </c>
      <c r="T8" s="12">
        <v>6</v>
      </c>
      <c r="U8" s="12">
        <v>5</v>
      </c>
      <c r="V8" s="12">
        <v>2</v>
      </c>
      <c r="W8" s="167"/>
      <c r="X8" s="37">
        <v>155</v>
      </c>
      <c r="Y8" s="13">
        <v>60</v>
      </c>
      <c r="Z8" s="13">
        <v>3</v>
      </c>
      <c r="AA8" s="13">
        <v>0</v>
      </c>
      <c r="AB8" s="13">
        <v>3</v>
      </c>
      <c r="AC8" s="204"/>
      <c r="AD8" s="224">
        <v>162</v>
      </c>
      <c r="AE8" s="224">
        <v>55</v>
      </c>
      <c r="AF8" s="204"/>
      <c r="AG8" s="243">
        <v>155</v>
      </c>
      <c r="AH8" s="224">
        <v>53</v>
      </c>
      <c r="AI8" s="224">
        <v>5</v>
      </c>
      <c r="AJ8" s="276"/>
      <c r="AK8" s="243">
        <v>150</v>
      </c>
      <c r="AL8" s="244">
        <v>58</v>
      </c>
      <c r="AM8" s="3"/>
      <c r="AN8" s="3"/>
      <c r="AO8" s="3"/>
      <c r="AP8" s="3"/>
      <c r="AQ8" s="3"/>
      <c r="AR8" s="3"/>
    </row>
    <row r="9" spans="1:45" ht="15.75" customHeight="1" x14ac:dyDescent="0.2">
      <c r="A9" s="181">
        <v>893</v>
      </c>
      <c r="B9" s="164">
        <f t="shared" si="0"/>
        <v>0.61254199328107506</v>
      </c>
      <c r="C9" s="169">
        <v>547</v>
      </c>
      <c r="D9" s="168" t="s">
        <v>48</v>
      </c>
      <c r="E9" s="165"/>
      <c r="F9" s="7">
        <v>400</v>
      </c>
      <c r="G9" s="7">
        <v>121</v>
      </c>
      <c r="H9" s="7">
        <v>9</v>
      </c>
      <c r="I9" s="7">
        <v>4</v>
      </c>
      <c r="J9" s="7">
        <v>1</v>
      </c>
      <c r="K9" s="7">
        <v>3</v>
      </c>
      <c r="L9" s="165"/>
      <c r="M9" s="7">
        <v>399</v>
      </c>
      <c r="N9" s="7">
        <v>115</v>
      </c>
      <c r="O9" s="7">
        <v>9</v>
      </c>
      <c r="P9" s="12">
        <v>10</v>
      </c>
      <c r="Q9" s="166"/>
      <c r="R9" s="12">
        <v>416</v>
      </c>
      <c r="S9" s="12">
        <v>93</v>
      </c>
      <c r="T9" s="12">
        <v>6</v>
      </c>
      <c r="U9" s="12">
        <v>7</v>
      </c>
      <c r="V9" s="12">
        <v>9</v>
      </c>
      <c r="W9" s="167"/>
      <c r="X9" s="37">
        <v>405</v>
      </c>
      <c r="Y9" s="13">
        <v>126</v>
      </c>
      <c r="Z9" s="13">
        <v>2</v>
      </c>
      <c r="AA9" s="13">
        <v>1</v>
      </c>
      <c r="AB9" s="13">
        <v>3</v>
      </c>
      <c r="AC9" s="204"/>
      <c r="AD9" s="224">
        <v>429</v>
      </c>
      <c r="AE9" s="224">
        <v>101</v>
      </c>
      <c r="AF9" s="204"/>
      <c r="AG9" s="243">
        <v>432</v>
      </c>
      <c r="AH9" s="224">
        <v>92</v>
      </c>
      <c r="AI9" s="224">
        <v>7</v>
      </c>
      <c r="AJ9" s="276"/>
      <c r="AK9" s="243">
        <v>418</v>
      </c>
      <c r="AL9" s="244">
        <v>98</v>
      </c>
      <c r="AM9" s="3"/>
      <c r="AN9" s="3"/>
      <c r="AO9" s="3"/>
      <c r="AP9" s="3"/>
      <c r="AQ9" s="3"/>
      <c r="AR9" s="3"/>
    </row>
    <row r="10" spans="1:45" ht="15.75" customHeight="1" x14ac:dyDescent="0.2">
      <c r="A10" s="181">
        <v>613</v>
      </c>
      <c r="B10" s="164">
        <f t="shared" si="0"/>
        <v>0.61337683523654163</v>
      </c>
      <c r="C10" s="169">
        <v>376</v>
      </c>
      <c r="D10" s="168" t="s">
        <v>49</v>
      </c>
      <c r="E10" s="165"/>
      <c r="F10" s="7">
        <v>306</v>
      </c>
      <c r="G10" s="7">
        <v>58</v>
      </c>
      <c r="H10" s="7">
        <v>5</v>
      </c>
      <c r="I10" s="7">
        <v>2</v>
      </c>
      <c r="J10" s="7">
        <v>0</v>
      </c>
      <c r="K10" s="7">
        <v>2</v>
      </c>
      <c r="L10" s="165"/>
      <c r="M10" s="12">
        <v>304</v>
      </c>
      <c r="N10" s="12">
        <v>55</v>
      </c>
      <c r="O10" s="12">
        <v>6</v>
      </c>
      <c r="P10" s="12">
        <v>6</v>
      </c>
      <c r="Q10" s="166"/>
      <c r="R10" s="12">
        <v>306</v>
      </c>
      <c r="S10" s="12">
        <v>44</v>
      </c>
      <c r="T10" s="12">
        <v>9</v>
      </c>
      <c r="U10" s="12">
        <v>3</v>
      </c>
      <c r="V10" s="12">
        <v>3</v>
      </c>
      <c r="W10" s="167"/>
      <c r="X10" s="37">
        <v>307</v>
      </c>
      <c r="Y10" s="13">
        <v>55</v>
      </c>
      <c r="Z10" s="13">
        <v>2</v>
      </c>
      <c r="AA10" s="13">
        <v>4</v>
      </c>
      <c r="AB10" s="13">
        <v>3</v>
      </c>
      <c r="AC10" s="204"/>
      <c r="AD10" s="224">
        <v>319</v>
      </c>
      <c r="AE10" s="224">
        <v>50</v>
      </c>
      <c r="AF10" s="204"/>
      <c r="AG10" s="243">
        <v>318</v>
      </c>
      <c r="AH10" s="224">
        <v>43</v>
      </c>
      <c r="AI10" s="224">
        <v>7</v>
      </c>
      <c r="AJ10" s="276"/>
      <c r="AK10" s="243">
        <v>309</v>
      </c>
      <c r="AL10" s="244">
        <v>52</v>
      </c>
      <c r="AM10" s="3"/>
      <c r="AN10" s="3"/>
      <c r="AO10" s="3"/>
      <c r="AP10" s="3"/>
      <c r="AQ10" s="3"/>
      <c r="AR10" s="3"/>
    </row>
    <row r="11" spans="1:45" ht="15.75" customHeight="1" x14ac:dyDescent="0.2">
      <c r="A11" s="181">
        <v>141</v>
      </c>
      <c r="B11" s="164">
        <f t="shared" si="0"/>
        <v>0.68085106382978722</v>
      </c>
      <c r="C11" s="169">
        <v>96</v>
      </c>
      <c r="D11" s="168" t="s">
        <v>50</v>
      </c>
      <c r="E11" s="165"/>
      <c r="F11" s="7">
        <v>67</v>
      </c>
      <c r="G11" s="7">
        <v>25</v>
      </c>
      <c r="H11" s="7">
        <v>2</v>
      </c>
      <c r="I11" s="7">
        <v>0</v>
      </c>
      <c r="J11" s="7">
        <v>1</v>
      </c>
      <c r="K11" s="7">
        <v>0</v>
      </c>
      <c r="L11" s="165"/>
      <c r="M11" s="12">
        <v>63</v>
      </c>
      <c r="N11" s="12">
        <v>23</v>
      </c>
      <c r="O11" s="12">
        <v>5</v>
      </c>
      <c r="P11" s="12">
        <v>1</v>
      </c>
      <c r="Q11" s="166"/>
      <c r="R11" s="12">
        <v>65</v>
      </c>
      <c r="S11" s="12">
        <v>21</v>
      </c>
      <c r="T11" s="12">
        <v>4</v>
      </c>
      <c r="U11" s="12">
        <v>0</v>
      </c>
      <c r="V11" s="12">
        <v>4</v>
      </c>
      <c r="W11" s="167"/>
      <c r="X11" s="37">
        <v>67</v>
      </c>
      <c r="Y11" s="13">
        <v>24</v>
      </c>
      <c r="Z11" s="13">
        <v>0</v>
      </c>
      <c r="AA11" s="13">
        <v>2</v>
      </c>
      <c r="AB11" s="13">
        <v>1</v>
      </c>
      <c r="AC11" s="204"/>
      <c r="AD11" s="224">
        <v>72</v>
      </c>
      <c r="AE11" s="224">
        <v>22</v>
      </c>
      <c r="AF11" s="204"/>
      <c r="AG11" s="243">
        <v>70</v>
      </c>
      <c r="AH11" s="224">
        <v>20</v>
      </c>
      <c r="AI11" s="224">
        <v>4</v>
      </c>
      <c r="AJ11" s="276"/>
      <c r="AK11" s="243">
        <v>67</v>
      </c>
      <c r="AL11" s="244">
        <v>26</v>
      </c>
      <c r="AM11" s="3"/>
      <c r="AN11" s="3"/>
      <c r="AO11" s="3"/>
      <c r="AP11" s="3"/>
      <c r="AQ11" s="3"/>
      <c r="AR11" s="3"/>
    </row>
    <row r="12" spans="1:45" ht="15.75" customHeight="1" x14ac:dyDescent="0.2">
      <c r="A12" s="181">
        <v>884</v>
      </c>
      <c r="B12" s="164">
        <f t="shared" si="0"/>
        <v>0.54411764705882348</v>
      </c>
      <c r="C12" s="169">
        <v>481</v>
      </c>
      <c r="D12" s="168" t="s">
        <v>51</v>
      </c>
      <c r="E12" s="165"/>
      <c r="F12" s="7">
        <v>319</v>
      </c>
      <c r="G12" s="7">
        <v>142</v>
      </c>
      <c r="H12" s="7">
        <v>5</v>
      </c>
      <c r="I12" s="7">
        <v>5</v>
      </c>
      <c r="J12" s="7">
        <v>4</v>
      </c>
      <c r="K12" s="7">
        <v>0</v>
      </c>
      <c r="L12" s="165"/>
      <c r="M12" s="12">
        <v>305</v>
      </c>
      <c r="N12" s="12">
        <v>132</v>
      </c>
      <c r="O12" s="12">
        <v>11</v>
      </c>
      <c r="P12" s="12">
        <v>11</v>
      </c>
      <c r="Q12" s="166"/>
      <c r="R12" s="12">
        <v>318</v>
      </c>
      <c r="S12" s="12">
        <v>114</v>
      </c>
      <c r="T12" s="12">
        <v>14</v>
      </c>
      <c r="U12" s="12">
        <v>9</v>
      </c>
      <c r="V12" s="12">
        <v>6</v>
      </c>
      <c r="W12" s="167"/>
      <c r="X12" s="37">
        <v>320</v>
      </c>
      <c r="Y12" s="13">
        <v>143</v>
      </c>
      <c r="Z12" s="13">
        <v>7</v>
      </c>
      <c r="AA12" s="13">
        <v>3</v>
      </c>
      <c r="AB12" s="13">
        <v>1</v>
      </c>
      <c r="AC12" s="204"/>
      <c r="AD12" s="224">
        <v>328</v>
      </c>
      <c r="AE12" s="224">
        <v>135</v>
      </c>
      <c r="AF12" s="204"/>
      <c r="AG12" s="243">
        <v>333</v>
      </c>
      <c r="AH12" s="224">
        <v>122</v>
      </c>
      <c r="AI12" s="224">
        <v>10</v>
      </c>
      <c r="AJ12" s="276"/>
      <c r="AK12" s="243">
        <v>328</v>
      </c>
      <c r="AL12" s="244">
        <v>128</v>
      </c>
      <c r="AM12" s="3"/>
      <c r="AN12" s="3"/>
      <c r="AO12" s="3"/>
      <c r="AP12" s="3"/>
      <c r="AQ12" s="3"/>
      <c r="AR12" s="3"/>
    </row>
    <row r="13" spans="1:45" ht="15.75" customHeight="1" x14ac:dyDescent="0.2">
      <c r="A13" s="181">
        <v>170</v>
      </c>
      <c r="B13" s="164">
        <f t="shared" si="0"/>
        <v>0.66470588235294115</v>
      </c>
      <c r="C13" s="169">
        <v>113</v>
      </c>
      <c r="D13" s="168" t="s">
        <v>52</v>
      </c>
      <c r="E13" s="165"/>
      <c r="F13" s="7">
        <v>71</v>
      </c>
      <c r="G13" s="7">
        <v>36</v>
      </c>
      <c r="H13" s="7">
        <v>3</v>
      </c>
      <c r="I13" s="7">
        <v>1</v>
      </c>
      <c r="J13" s="7">
        <v>0</v>
      </c>
      <c r="K13" s="7">
        <v>0</v>
      </c>
      <c r="L13" s="165"/>
      <c r="M13" s="12">
        <v>67</v>
      </c>
      <c r="N13" s="12">
        <v>33</v>
      </c>
      <c r="O13" s="12">
        <v>4</v>
      </c>
      <c r="P13" s="12">
        <v>3</v>
      </c>
      <c r="Q13" s="166"/>
      <c r="R13" s="12">
        <v>67</v>
      </c>
      <c r="S13" s="12">
        <v>32</v>
      </c>
      <c r="T13" s="12">
        <v>4</v>
      </c>
      <c r="U13" s="12">
        <v>1</v>
      </c>
      <c r="V13" s="12">
        <v>1</v>
      </c>
      <c r="W13" s="167"/>
      <c r="X13" s="37">
        <v>69</v>
      </c>
      <c r="Y13" s="13">
        <v>37</v>
      </c>
      <c r="Z13" s="13">
        <v>2</v>
      </c>
      <c r="AA13" s="13">
        <v>1</v>
      </c>
      <c r="AB13" s="13">
        <v>1</v>
      </c>
      <c r="AC13" s="204"/>
      <c r="AD13" s="224">
        <v>76</v>
      </c>
      <c r="AE13" s="224">
        <v>31</v>
      </c>
      <c r="AF13" s="204"/>
      <c r="AG13" s="243">
        <v>75</v>
      </c>
      <c r="AH13" s="224">
        <v>31</v>
      </c>
      <c r="AI13" s="224">
        <v>3</v>
      </c>
      <c r="AJ13" s="276"/>
      <c r="AK13" s="243">
        <v>65</v>
      </c>
      <c r="AL13" s="244">
        <v>36</v>
      </c>
      <c r="AM13" s="3"/>
      <c r="AN13" s="3"/>
      <c r="AO13" s="3"/>
      <c r="AP13" s="3"/>
      <c r="AQ13" s="3"/>
      <c r="AR13" s="3"/>
    </row>
    <row r="14" spans="1:45" ht="15.75" customHeight="1" x14ac:dyDescent="0.2">
      <c r="A14" s="181">
        <v>2278</v>
      </c>
      <c r="B14" s="164">
        <f t="shared" si="0"/>
        <v>0.61457418788410889</v>
      </c>
      <c r="C14" s="169">
        <v>1400</v>
      </c>
      <c r="D14" s="168" t="s">
        <v>53</v>
      </c>
      <c r="E14" s="165"/>
      <c r="F14" s="7">
        <v>866</v>
      </c>
      <c r="G14" s="7">
        <v>477</v>
      </c>
      <c r="H14" s="7">
        <v>17</v>
      </c>
      <c r="I14" s="7">
        <v>10</v>
      </c>
      <c r="J14" s="7">
        <v>9</v>
      </c>
      <c r="K14" s="7">
        <v>4</v>
      </c>
      <c r="L14" s="165"/>
      <c r="M14" s="12">
        <v>873</v>
      </c>
      <c r="N14" s="12">
        <v>438</v>
      </c>
      <c r="O14" s="12">
        <v>23</v>
      </c>
      <c r="P14" s="12">
        <v>24</v>
      </c>
      <c r="Q14" s="166"/>
      <c r="R14" s="12">
        <v>902</v>
      </c>
      <c r="S14" s="12">
        <v>394</v>
      </c>
      <c r="T14" s="12">
        <v>25</v>
      </c>
      <c r="U14" s="12">
        <v>16</v>
      </c>
      <c r="V14" s="12">
        <v>22</v>
      </c>
      <c r="W14" s="167"/>
      <c r="X14" s="37">
        <v>876</v>
      </c>
      <c r="Y14" s="13">
        <v>479</v>
      </c>
      <c r="Z14" s="13">
        <v>8</v>
      </c>
      <c r="AA14" s="13">
        <v>8</v>
      </c>
      <c r="AB14" s="13">
        <v>10</v>
      </c>
      <c r="AC14" s="204"/>
      <c r="AD14" s="224">
        <v>925</v>
      </c>
      <c r="AE14" s="224">
        <v>428</v>
      </c>
      <c r="AF14" s="204"/>
      <c r="AG14" s="243">
        <v>929</v>
      </c>
      <c r="AH14" s="224">
        <v>387</v>
      </c>
      <c r="AI14" s="224">
        <v>37</v>
      </c>
      <c r="AJ14" s="276"/>
      <c r="AK14" s="243">
        <v>918</v>
      </c>
      <c r="AL14" s="244">
        <v>419</v>
      </c>
      <c r="AM14" s="3"/>
      <c r="AN14" s="3"/>
      <c r="AO14" s="3"/>
      <c r="AP14" s="3"/>
      <c r="AQ14" s="3"/>
      <c r="AR14" s="3"/>
    </row>
    <row r="15" spans="1:45" ht="15.75" customHeight="1" x14ac:dyDescent="0.2">
      <c r="A15" s="181">
        <v>520</v>
      </c>
      <c r="B15" s="164">
        <f t="shared" si="0"/>
        <v>0.58269230769230773</v>
      </c>
      <c r="C15" s="169">
        <v>303</v>
      </c>
      <c r="D15" s="168" t="s">
        <v>8</v>
      </c>
      <c r="E15" s="165"/>
      <c r="F15" s="7">
        <v>210</v>
      </c>
      <c r="G15" s="7">
        <v>79</v>
      </c>
      <c r="H15" s="7">
        <v>3</v>
      </c>
      <c r="I15" s="7">
        <v>7</v>
      </c>
      <c r="J15" s="7">
        <v>0</v>
      </c>
      <c r="K15" s="7">
        <v>1</v>
      </c>
      <c r="L15" s="165"/>
      <c r="M15" s="7">
        <v>215</v>
      </c>
      <c r="N15" s="7">
        <v>66</v>
      </c>
      <c r="O15" s="7">
        <v>7</v>
      </c>
      <c r="P15" s="12">
        <v>10</v>
      </c>
      <c r="Q15" s="166"/>
      <c r="R15" s="12">
        <v>215</v>
      </c>
      <c r="S15" s="12">
        <v>65</v>
      </c>
      <c r="T15" s="12">
        <v>5</v>
      </c>
      <c r="U15" s="12">
        <v>6</v>
      </c>
      <c r="V15" s="12">
        <v>7</v>
      </c>
      <c r="W15" s="167"/>
      <c r="X15" s="37">
        <v>211</v>
      </c>
      <c r="Y15" s="13">
        <v>84</v>
      </c>
      <c r="Z15" s="13">
        <v>1</v>
      </c>
      <c r="AA15" s="13">
        <v>2</v>
      </c>
      <c r="AB15" s="13">
        <v>3</v>
      </c>
      <c r="AC15" s="204"/>
      <c r="AD15" s="224">
        <v>229</v>
      </c>
      <c r="AE15" s="224">
        <v>64</v>
      </c>
      <c r="AF15" s="204"/>
      <c r="AG15" s="243">
        <v>225</v>
      </c>
      <c r="AH15" s="224">
        <v>62</v>
      </c>
      <c r="AI15" s="224">
        <v>4</v>
      </c>
      <c r="AJ15" s="276">
        <v>216</v>
      </c>
      <c r="AK15" s="243">
        <v>216</v>
      </c>
      <c r="AL15" s="244">
        <v>77</v>
      </c>
      <c r="AM15" s="3"/>
      <c r="AN15" s="3"/>
      <c r="AO15" s="3"/>
      <c r="AP15" s="3"/>
      <c r="AQ15" s="3"/>
      <c r="AR15" s="3"/>
    </row>
    <row r="16" spans="1:45" ht="15.75" customHeight="1" x14ac:dyDescent="0.2">
      <c r="A16" s="181">
        <v>366</v>
      </c>
      <c r="B16" s="164">
        <f t="shared" si="0"/>
        <v>0.58743169398907102</v>
      </c>
      <c r="C16" s="169">
        <v>215</v>
      </c>
      <c r="D16" s="168" t="s">
        <v>54</v>
      </c>
      <c r="E16" s="165"/>
      <c r="F16" s="7">
        <v>130</v>
      </c>
      <c r="G16" s="7">
        <v>69</v>
      </c>
      <c r="H16" s="7">
        <v>3</v>
      </c>
      <c r="I16" s="7">
        <v>3</v>
      </c>
      <c r="J16" s="7">
        <v>0</v>
      </c>
      <c r="K16" s="7">
        <v>1</v>
      </c>
      <c r="L16" s="165"/>
      <c r="M16" s="7">
        <v>122</v>
      </c>
      <c r="N16" s="7">
        <v>60</v>
      </c>
      <c r="O16" s="7">
        <v>8</v>
      </c>
      <c r="P16" s="12">
        <v>8</v>
      </c>
      <c r="Q16" s="166"/>
      <c r="R16" s="12">
        <v>126</v>
      </c>
      <c r="S16" s="12">
        <v>58</v>
      </c>
      <c r="T16" s="12">
        <v>4</v>
      </c>
      <c r="U16" s="12">
        <v>3</v>
      </c>
      <c r="V16" s="12">
        <v>6</v>
      </c>
      <c r="W16" s="167"/>
      <c r="X16" s="37">
        <v>139</v>
      </c>
      <c r="Y16" s="13">
        <v>63</v>
      </c>
      <c r="Z16" s="13">
        <v>3</v>
      </c>
      <c r="AA16" s="13">
        <v>1</v>
      </c>
      <c r="AB16" s="13">
        <v>2</v>
      </c>
      <c r="AC16" s="204"/>
      <c r="AD16" s="224">
        <v>141</v>
      </c>
      <c r="AE16" s="224">
        <v>60</v>
      </c>
      <c r="AF16" s="204"/>
      <c r="AG16" s="243">
        <v>141</v>
      </c>
      <c r="AH16" s="224">
        <v>51</v>
      </c>
      <c r="AI16" s="224">
        <v>7</v>
      </c>
      <c r="AJ16" s="276"/>
      <c r="AK16" s="243">
        <v>135</v>
      </c>
      <c r="AL16" s="244">
        <v>59</v>
      </c>
      <c r="AM16" s="3"/>
      <c r="AN16" s="3"/>
      <c r="AO16" s="3"/>
      <c r="AP16" s="3"/>
      <c r="AQ16" s="3"/>
      <c r="AR16" s="3"/>
    </row>
    <row r="17" spans="1:44" ht="15.75" customHeight="1" x14ac:dyDescent="0.2">
      <c r="A17" s="181">
        <v>738</v>
      </c>
      <c r="B17" s="164">
        <f t="shared" si="0"/>
        <v>0.7032520325203252</v>
      </c>
      <c r="C17" s="169">
        <v>519</v>
      </c>
      <c r="D17" s="168" t="s">
        <v>55</v>
      </c>
      <c r="E17" s="165"/>
      <c r="F17" s="7">
        <v>353</v>
      </c>
      <c r="G17" s="7">
        <v>151</v>
      </c>
      <c r="H17" s="7">
        <v>5</v>
      </c>
      <c r="I17" s="7">
        <v>3</v>
      </c>
      <c r="J17" s="7">
        <v>1</v>
      </c>
      <c r="K17" s="7">
        <v>0</v>
      </c>
      <c r="L17" s="165"/>
      <c r="M17" s="12">
        <v>349</v>
      </c>
      <c r="N17" s="12">
        <v>141</v>
      </c>
      <c r="O17" s="12">
        <v>7</v>
      </c>
      <c r="P17" s="12">
        <v>7</v>
      </c>
      <c r="Q17" s="166"/>
      <c r="R17" s="12">
        <v>353</v>
      </c>
      <c r="S17" s="12">
        <v>127</v>
      </c>
      <c r="T17" s="12">
        <v>10</v>
      </c>
      <c r="U17" s="12">
        <v>5</v>
      </c>
      <c r="V17" s="12">
        <v>8</v>
      </c>
      <c r="W17" s="167"/>
      <c r="X17" s="37">
        <v>354</v>
      </c>
      <c r="Y17" s="13">
        <v>148</v>
      </c>
      <c r="Z17" s="13">
        <v>3</v>
      </c>
      <c r="AA17" s="13">
        <v>3</v>
      </c>
      <c r="AB17" s="13">
        <v>4</v>
      </c>
      <c r="AC17" s="204"/>
      <c r="AD17" s="224">
        <v>378</v>
      </c>
      <c r="AE17" s="224">
        <v>132</v>
      </c>
      <c r="AF17" s="204"/>
      <c r="AG17" s="243">
        <v>377</v>
      </c>
      <c r="AH17" s="224">
        <v>124</v>
      </c>
      <c r="AI17" s="224">
        <v>7</v>
      </c>
      <c r="AJ17" s="276"/>
      <c r="AK17" s="243">
        <v>339</v>
      </c>
      <c r="AL17" s="244">
        <v>145</v>
      </c>
      <c r="AM17" s="3"/>
      <c r="AN17" s="3"/>
      <c r="AO17" s="3"/>
      <c r="AP17" s="3"/>
      <c r="AQ17" s="3"/>
      <c r="AR17" s="3"/>
    </row>
    <row r="18" spans="1:44" ht="15.75" customHeight="1" x14ac:dyDescent="0.2">
      <c r="A18" s="181">
        <v>1062</v>
      </c>
      <c r="B18" s="164">
        <f t="shared" si="0"/>
        <v>0.59981167608286257</v>
      </c>
      <c r="C18" s="169">
        <v>637</v>
      </c>
      <c r="D18" s="168" t="s">
        <v>62</v>
      </c>
      <c r="E18" s="165"/>
      <c r="F18" s="7">
        <v>521</v>
      </c>
      <c r="G18" s="7">
        <v>101</v>
      </c>
      <c r="H18" s="7">
        <v>4</v>
      </c>
      <c r="I18" s="7">
        <v>4</v>
      </c>
      <c r="J18" s="7">
        <v>2</v>
      </c>
      <c r="K18" s="7">
        <v>0</v>
      </c>
      <c r="L18" s="165"/>
      <c r="M18" s="12">
        <v>510</v>
      </c>
      <c r="N18" s="12">
        <v>96</v>
      </c>
      <c r="O18" s="12">
        <v>15</v>
      </c>
      <c r="P18" s="12">
        <v>10</v>
      </c>
      <c r="Q18" s="166"/>
      <c r="R18" s="12">
        <v>525</v>
      </c>
      <c r="S18" s="12">
        <v>75</v>
      </c>
      <c r="T18" s="12">
        <v>9</v>
      </c>
      <c r="U18" s="12">
        <v>6</v>
      </c>
      <c r="V18" s="12">
        <v>11</v>
      </c>
      <c r="W18" s="167"/>
      <c r="X18" s="37">
        <v>506</v>
      </c>
      <c r="Y18" s="13">
        <v>119</v>
      </c>
      <c r="Z18" s="13">
        <v>3</v>
      </c>
      <c r="AA18" s="13">
        <v>2</v>
      </c>
      <c r="AB18" s="13">
        <v>1</v>
      </c>
      <c r="AC18" s="204"/>
      <c r="AD18" s="224">
        <v>551</v>
      </c>
      <c r="AE18" s="224">
        <v>79</v>
      </c>
      <c r="AF18" s="204"/>
      <c r="AG18" s="243">
        <v>540</v>
      </c>
      <c r="AH18" s="224">
        <v>73</v>
      </c>
      <c r="AI18" s="224">
        <v>15</v>
      </c>
      <c r="AJ18" s="276"/>
      <c r="AK18" s="243">
        <v>511</v>
      </c>
      <c r="AL18" s="244">
        <v>100</v>
      </c>
      <c r="AM18" s="3"/>
      <c r="AN18" s="3"/>
      <c r="AO18" s="3"/>
      <c r="AP18" s="3"/>
      <c r="AQ18" s="3"/>
      <c r="AR18" s="3"/>
    </row>
    <row r="19" spans="1:44" ht="15.75" customHeight="1" x14ac:dyDescent="0.2">
      <c r="A19" s="181">
        <v>692</v>
      </c>
      <c r="B19" s="164">
        <f t="shared" si="0"/>
        <v>0.6445086705202312</v>
      </c>
      <c r="C19" s="169">
        <v>446</v>
      </c>
      <c r="D19" s="168" t="s">
        <v>56</v>
      </c>
      <c r="E19" s="165"/>
      <c r="F19" s="7">
        <v>362</v>
      </c>
      <c r="G19" s="7">
        <v>69</v>
      </c>
      <c r="H19" s="7">
        <v>2</v>
      </c>
      <c r="I19" s="7">
        <v>4</v>
      </c>
      <c r="J19" s="7">
        <v>2</v>
      </c>
      <c r="K19" s="7">
        <v>1</v>
      </c>
      <c r="L19" s="165"/>
      <c r="M19" s="12">
        <v>366</v>
      </c>
      <c r="N19" s="12">
        <v>58</v>
      </c>
      <c r="O19" s="12">
        <v>3</v>
      </c>
      <c r="P19" s="12">
        <v>9</v>
      </c>
      <c r="Q19" s="166"/>
      <c r="R19" s="12">
        <v>367</v>
      </c>
      <c r="S19" s="12">
        <v>49</v>
      </c>
      <c r="T19" s="12">
        <v>8</v>
      </c>
      <c r="U19" s="12">
        <v>5</v>
      </c>
      <c r="V19" s="12">
        <v>5</v>
      </c>
      <c r="W19" s="167"/>
      <c r="X19" s="37">
        <v>364</v>
      </c>
      <c r="Y19" s="13">
        <v>71</v>
      </c>
      <c r="Z19" s="13">
        <v>3</v>
      </c>
      <c r="AA19" s="13">
        <v>3</v>
      </c>
      <c r="AB19" s="13">
        <v>1</v>
      </c>
      <c r="AC19" s="204"/>
      <c r="AD19" s="224">
        <v>387</v>
      </c>
      <c r="AE19" s="224">
        <v>49</v>
      </c>
      <c r="AF19" s="204"/>
      <c r="AG19" s="243">
        <v>388</v>
      </c>
      <c r="AH19" s="224">
        <v>40</v>
      </c>
      <c r="AI19" s="224">
        <v>6</v>
      </c>
      <c r="AJ19" s="276"/>
      <c r="AK19" s="243">
        <v>369</v>
      </c>
      <c r="AL19" s="244">
        <v>57</v>
      </c>
      <c r="AM19" s="3"/>
      <c r="AN19" s="3"/>
      <c r="AO19" s="3"/>
      <c r="AP19" s="3"/>
      <c r="AQ19" s="3"/>
      <c r="AR19" s="3"/>
    </row>
    <row r="20" spans="1:44" ht="15.75" customHeight="1" x14ac:dyDescent="0.2">
      <c r="A20" s="181">
        <v>344</v>
      </c>
      <c r="B20" s="164">
        <f t="shared" si="0"/>
        <v>0.58430232558139539</v>
      </c>
      <c r="C20" s="169">
        <v>201</v>
      </c>
      <c r="D20" s="168" t="s">
        <v>57</v>
      </c>
      <c r="E20" s="165"/>
      <c r="F20" s="7">
        <v>137</v>
      </c>
      <c r="G20" s="7">
        <v>53</v>
      </c>
      <c r="H20" s="7">
        <v>1</v>
      </c>
      <c r="I20" s="7">
        <v>2</v>
      </c>
      <c r="J20" s="7">
        <v>2</v>
      </c>
      <c r="K20" s="7">
        <v>1</v>
      </c>
      <c r="L20" s="165"/>
      <c r="M20" s="7">
        <v>127</v>
      </c>
      <c r="N20" s="7">
        <v>51</v>
      </c>
      <c r="O20" s="12">
        <v>6</v>
      </c>
      <c r="P20" s="12">
        <v>3</v>
      </c>
      <c r="Q20" s="166"/>
      <c r="R20" s="7">
        <v>134</v>
      </c>
      <c r="S20" s="7">
        <v>43</v>
      </c>
      <c r="T20" s="12">
        <v>2</v>
      </c>
      <c r="U20" s="12">
        <v>2</v>
      </c>
      <c r="V20" s="12">
        <v>5</v>
      </c>
      <c r="W20" s="167"/>
      <c r="X20" s="37">
        <v>131</v>
      </c>
      <c r="Y20" s="13">
        <v>64</v>
      </c>
      <c r="Z20" s="13">
        <v>0</v>
      </c>
      <c r="AA20" s="13">
        <v>0</v>
      </c>
      <c r="AB20" s="13">
        <v>0</v>
      </c>
      <c r="AC20" s="204"/>
      <c r="AD20" s="224">
        <v>143</v>
      </c>
      <c r="AE20" s="224">
        <v>47</v>
      </c>
      <c r="AF20" s="204"/>
      <c r="AG20" s="243">
        <v>144</v>
      </c>
      <c r="AH20" s="224">
        <v>40</v>
      </c>
      <c r="AI20" s="224">
        <v>4</v>
      </c>
      <c r="AJ20" s="276"/>
      <c r="AK20" s="243">
        <v>137</v>
      </c>
      <c r="AL20" s="244">
        <v>49</v>
      </c>
      <c r="AM20" s="3"/>
      <c r="AN20" s="3"/>
      <c r="AO20" s="3"/>
      <c r="AP20" s="3"/>
      <c r="AQ20" s="3"/>
      <c r="AR20" s="3"/>
    </row>
    <row r="21" spans="1:44" ht="15.75" customHeight="1" x14ac:dyDescent="0.2">
      <c r="A21" s="181"/>
      <c r="B21" s="164"/>
      <c r="C21" s="168"/>
      <c r="D21" s="168"/>
      <c r="E21" s="165"/>
      <c r="F21" s="7"/>
      <c r="G21" s="7"/>
      <c r="H21" s="7"/>
      <c r="I21" s="7"/>
      <c r="J21" s="7"/>
      <c r="K21" s="7"/>
      <c r="L21" s="165"/>
      <c r="M21" s="7"/>
      <c r="N21" s="7"/>
      <c r="O21" s="7"/>
      <c r="P21" s="7"/>
      <c r="Q21" s="166"/>
      <c r="R21" s="7"/>
      <c r="S21" s="7"/>
      <c r="T21" s="7"/>
      <c r="U21" s="7"/>
      <c r="V21" s="7"/>
      <c r="W21" s="167"/>
      <c r="X21" s="37"/>
      <c r="Y21" s="13"/>
      <c r="Z21" s="13"/>
      <c r="AA21" s="13"/>
      <c r="AB21" s="13"/>
      <c r="AC21" s="204"/>
      <c r="AD21" s="224"/>
      <c r="AE21" s="224"/>
      <c r="AF21" s="204"/>
      <c r="AG21" s="243"/>
      <c r="AH21" s="224"/>
      <c r="AI21" s="224"/>
      <c r="AJ21" s="276"/>
      <c r="AK21" s="243"/>
      <c r="AL21" s="244"/>
      <c r="AM21" s="3"/>
      <c r="AN21" s="3"/>
      <c r="AO21" s="3"/>
      <c r="AP21" s="3"/>
      <c r="AQ21" s="3"/>
      <c r="AR21" s="3"/>
    </row>
    <row r="22" spans="1:44" ht="15.75" customHeight="1" x14ac:dyDescent="0.2">
      <c r="A22" s="181">
        <v>602</v>
      </c>
      <c r="B22" s="164">
        <f t="shared" si="0"/>
        <v>0.63289036544850497</v>
      </c>
      <c r="C22" s="169">
        <v>381</v>
      </c>
      <c r="D22" s="168" t="s">
        <v>58</v>
      </c>
      <c r="E22" s="165"/>
      <c r="F22" s="7">
        <v>211</v>
      </c>
      <c r="G22" s="7">
        <v>152</v>
      </c>
      <c r="H22" s="7">
        <v>3</v>
      </c>
      <c r="I22" s="7">
        <v>2</v>
      </c>
      <c r="J22" s="7">
        <v>1</v>
      </c>
      <c r="K22" s="7">
        <v>2</v>
      </c>
      <c r="L22" s="165"/>
      <c r="M22" s="12">
        <v>215</v>
      </c>
      <c r="N22" s="12">
        <v>142</v>
      </c>
      <c r="O22" s="12">
        <v>7</v>
      </c>
      <c r="P22" s="12">
        <v>4</v>
      </c>
      <c r="Q22" s="166"/>
      <c r="R22" s="12">
        <v>222</v>
      </c>
      <c r="S22" s="12">
        <v>128</v>
      </c>
      <c r="T22" s="12">
        <v>5</v>
      </c>
      <c r="U22" s="12">
        <v>5</v>
      </c>
      <c r="V22" s="12">
        <v>7</v>
      </c>
      <c r="W22" s="167"/>
      <c r="X22" s="37">
        <v>216</v>
      </c>
      <c r="Y22" s="13">
        <v>145</v>
      </c>
      <c r="Z22" s="13">
        <v>4</v>
      </c>
      <c r="AA22" s="13">
        <v>2</v>
      </c>
      <c r="AB22" s="13">
        <v>1</v>
      </c>
      <c r="AC22" s="204"/>
      <c r="AD22" s="224">
        <v>239</v>
      </c>
      <c r="AE22" s="224">
        <v>128</v>
      </c>
      <c r="AF22" s="204"/>
      <c r="AG22" s="243">
        <v>243</v>
      </c>
      <c r="AH22" s="224">
        <v>116</v>
      </c>
      <c r="AI22" s="224">
        <v>10</v>
      </c>
      <c r="AJ22" s="276"/>
      <c r="AK22" s="243">
        <v>223</v>
      </c>
      <c r="AL22" s="244">
        <v>135</v>
      </c>
      <c r="AM22" s="3"/>
      <c r="AN22" s="3"/>
      <c r="AO22" s="3"/>
      <c r="AP22" s="3"/>
      <c r="AQ22" s="3"/>
      <c r="AR22" s="3"/>
    </row>
    <row r="23" spans="1:44" ht="15.75" customHeight="1" x14ac:dyDescent="0.2">
      <c r="A23" s="181">
        <v>403</v>
      </c>
      <c r="B23" s="164">
        <f t="shared" si="0"/>
        <v>0.63523573200992556</v>
      </c>
      <c r="C23" s="169">
        <v>256</v>
      </c>
      <c r="D23" s="168" t="s">
        <v>10</v>
      </c>
      <c r="E23" s="165"/>
      <c r="F23" s="7">
        <v>192</v>
      </c>
      <c r="G23" s="7">
        <v>55</v>
      </c>
      <c r="H23" s="7">
        <v>3</v>
      </c>
      <c r="I23" s="7">
        <v>2</v>
      </c>
      <c r="J23" s="7">
        <v>1</v>
      </c>
      <c r="K23" s="7">
        <v>1</v>
      </c>
      <c r="L23" s="165"/>
      <c r="M23" s="7">
        <v>188</v>
      </c>
      <c r="N23" s="7">
        <v>48</v>
      </c>
      <c r="O23" s="7">
        <v>7</v>
      </c>
      <c r="P23" s="12">
        <v>4</v>
      </c>
      <c r="Q23" s="166"/>
      <c r="R23" s="12">
        <v>192</v>
      </c>
      <c r="S23" s="12">
        <v>49</v>
      </c>
      <c r="T23" s="12">
        <v>3</v>
      </c>
      <c r="U23" s="12">
        <v>3</v>
      </c>
      <c r="V23" s="12">
        <v>0</v>
      </c>
      <c r="W23" s="167"/>
      <c r="X23" s="37">
        <v>196</v>
      </c>
      <c r="Y23" s="13">
        <v>54</v>
      </c>
      <c r="Z23" s="13">
        <v>3</v>
      </c>
      <c r="AA23" s="13">
        <v>0</v>
      </c>
      <c r="AB23" s="13">
        <v>1</v>
      </c>
      <c r="AC23" s="204"/>
      <c r="AD23" s="224">
        <v>214</v>
      </c>
      <c r="AE23" s="224">
        <v>37</v>
      </c>
      <c r="AF23" s="204"/>
      <c r="AG23" s="243">
        <v>211</v>
      </c>
      <c r="AH23" s="224">
        <v>33</v>
      </c>
      <c r="AI23" s="224">
        <v>6</v>
      </c>
      <c r="AJ23" s="276"/>
      <c r="AK23" s="243">
        <v>193</v>
      </c>
      <c r="AL23" s="244">
        <v>50</v>
      </c>
      <c r="AM23" s="3"/>
      <c r="AN23" s="3"/>
      <c r="AO23" s="3"/>
      <c r="AP23" s="3"/>
      <c r="AQ23" s="3"/>
      <c r="AR23" s="3"/>
    </row>
    <row r="24" spans="1:44" ht="15.75" customHeight="1" x14ac:dyDescent="0.2">
      <c r="A24" s="181"/>
      <c r="B24" s="164"/>
      <c r="C24" s="169"/>
      <c r="D24" s="168"/>
      <c r="E24" s="165"/>
      <c r="F24" s="7"/>
      <c r="G24" s="7"/>
      <c r="H24" s="7"/>
      <c r="I24" s="7"/>
      <c r="J24" s="7"/>
      <c r="K24" s="7"/>
      <c r="L24" s="165"/>
      <c r="M24" s="7"/>
      <c r="N24" s="7"/>
      <c r="O24" s="7"/>
      <c r="P24" s="12"/>
      <c r="Q24" s="166"/>
      <c r="R24" s="12"/>
      <c r="S24" s="12"/>
      <c r="T24" s="12"/>
      <c r="U24" s="12"/>
      <c r="V24" s="12"/>
      <c r="W24" s="167"/>
      <c r="X24" s="37"/>
      <c r="Y24" s="13"/>
      <c r="Z24" s="13"/>
      <c r="AA24" s="13"/>
      <c r="AB24" s="13"/>
      <c r="AC24" s="204"/>
      <c r="AD24" s="13"/>
      <c r="AE24" s="13"/>
      <c r="AF24" s="204"/>
      <c r="AG24" s="37"/>
      <c r="AH24" s="13"/>
      <c r="AI24" s="13"/>
      <c r="AJ24" s="205"/>
      <c r="AK24" s="37"/>
      <c r="AL24" s="184"/>
      <c r="AM24" s="3"/>
      <c r="AN24" s="3"/>
      <c r="AO24" s="3"/>
      <c r="AP24" s="3"/>
      <c r="AQ24" s="3"/>
      <c r="AR24" s="3"/>
    </row>
    <row r="25" spans="1:44" ht="15.75" customHeight="1" x14ac:dyDescent="0.2">
      <c r="A25" s="182">
        <f>SUM(A6:A23)</f>
        <v>10821</v>
      </c>
      <c r="B25" s="171">
        <f>SUM(C25/A25)</f>
        <v>0.61546991960077624</v>
      </c>
      <c r="C25" s="170">
        <f>SUM(C6:C24)</f>
        <v>6660</v>
      </c>
      <c r="D25" s="168" t="s">
        <v>16</v>
      </c>
      <c r="E25" s="172"/>
      <c r="F25" s="7">
        <f t="shared" ref="F25:K25" si="1">SUM(F6:F23)</f>
        <v>4641</v>
      </c>
      <c r="G25" s="7">
        <f t="shared" si="1"/>
        <v>1759</v>
      </c>
      <c r="H25" s="7">
        <f t="shared" si="1"/>
        <v>68</v>
      </c>
      <c r="I25" s="7">
        <f t="shared" si="1"/>
        <v>52</v>
      </c>
      <c r="J25" s="7">
        <f t="shared" si="1"/>
        <v>27</v>
      </c>
      <c r="K25" s="7">
        <f t="shared" si="1"/>
        <v>19</v>
      </c>
      <c r="L25" s="172"/>
      <c r="M25" s="7">
        <f>SUM(M6:M23)</f>
        <v>4569</v>
      </c>
      <c r="N25" s="7">
        <f>SUM(N6:N23)</f>
        <v>1631</v>
      </c>
      <c r="O25" s="7">
        <f>SUM(O6:O23)</f>
        <v>133</v>
      </c>
      <c r="P25" s="7">
        <f>SUM(P6:P23)</f>
        <v>121</v>
      </c>
      <c r="Q25" s="172"/>
      <c r="R25" s="7">
        <f>SUM(R6:R23)</f>
        <v>4689</v>
      </c>
      <c r="S25" s="7">
        <f>SUM(S6:S23)</f>
        <v>1445</v>
      </c>
      <c r="T25" s="7">
        <f>SUM(T6:T23)</f>
        <v>121</v>
      </c>
      <c r="U25" s="7">
        <f>SUM(U6:U23)</f>
        <v>81</v>
      </c>
      <c r="V25" s="7">
        <f>SUM(V6:V23)</f>
        <v>103</v>
      </c>
      <c r="W25" s="173"/>
      <c r="X25" s="243">
        <f t="shared" ref="X25:AB25" si="2">SUM(X6:X23)</f>
        <v>4650</v>
      </c>
      <c r="Y25" s="224">
        <f t="shared" si="2"/>
        <v>1783</v>
      </c>
      <c r="Z25" s="224">
        <f t="shared" si="2"/>
        <v>49</v>
      </c>
      <c r="AA25" s="224">
        <f t="shared" si="2"/>
        <v>34</v>
      </c>
      <c r="AB25" s="224">
        <f t="shared" si="2"/>
        <v>39</v>
      </c>
      <c r="AC25" s="202"/>
      <c r="AD25" s="224">
        <f>SUM(AD6:AD23)</f>
        <v>4943</v>
      </c>
      <c r="AE25" s="224">
        <f>SUM(AE6:AE23)</f>
        <v>1521</v>
      </c>
      <c r="AF25" s="204"/>
      <c r="AG25" s="224">
        <f>SUM(AG6:AG23)</f>
        <v>4928</v>
      </c>
      <c r="AH25" s="224">
        <f>SUM(AH6:AH23)</f>
        <v>1384</v>
      </c>
      <c r="AI25" s="224">
        <f>SUM(AI6:AI23)</f>
        <v>140</v>
      </c>
      <c r="AJ25" s="276"/>
      <c r="AK25" s="224">
        <f>SUM(AK6:AK23)</f>
        <v>4703</v>
      </c>
      <c r="AL25" s="244">
        <f>SUM(AL6:AL24)</f>
        <v>1597</v>
      </c>
      <c r="AM25" s="3"/>
      <c r="AN25" s="3"/>
      <c r="AO25" s="3"/>
      <c r="AP25" s="3"/>
      <c r="AQ25" s="3"/>
      <c r="AR25" s="3"/>
    </row>
    <row r="26" spans="1:44" ht="15.75" customHeight="1" thickBot="1" x14ac:dyDescent="0.25">
      <c r="A26" s="183"/>
      <c r="B26" s="174"/>
      <c r="C26" s="175"/>
      <c r="D26" s="175"/>
      <c r="E26" s="177"/>
      <c r="F26" s="176"/>
      <c r="G26" s="176"/>
      <c r="H26" s="176"/>
      <c r="I26" s="176"/>
      <c r="J26" s="176"/>
      <c r="K26" s="176"/>
      <c r="L26" s="177"/>
      <c r="M26" s="174"/>
      <c r="N26" s="174"/>
      <c r="O26" s="174"/>
      <c r="P26" s="174"/>
      <c r="Q26" s="178"/>
      <c r="R26" s="174"/>
      <c r="S26" s="174"/>
      <c r="T26" s="174"/>
      <c r="U26" s="174"/>
      <c r="V26" s="174"/>
      <c r="W26" s="179"/>
      <c r="X26" s="69"/>
      <c r="Y26" s="59"/>
      <c r="Z26" s="59"/>
      <c r="AA26" s="59"/>
      <c r="AB26" s="59"/>
      <c r="AC26" s="206"/>
      <c r="AD26" s="59"/>
      <c r="AE26" s="59"/>
      <c r="AF26" s="206"/>
      <c r="AG26" s="69"/>
      <c r="AH26" s="59"/>
      <c r="AI26" s="59"/>
      <c r="AJ26" s="217"/>
      <c r="AK26" s="60"/>
      <c r="AL26" s="210"/>
      <c r="AM26" s="3"/>
      <c r="AN26" s="3"/>
      <c r="AO26" s="3"/>
      <c r="AP26" s="3"/>
      <c r="AQ26" s="3"/>
      <c r="AR26" s="3"/>
    </row>
    <row r="27" spans="1:44" ht="14.25" customHeight="1" x14ac:dyDescent="0.2">
      <c r="A27" s="3"/>
      <c r="B27" s="3"/>
      <c r="C27" s="3"/>
      <c r="D27" s="3"/>
      <c r="E27" s="5"/>
      <c r="F27" s="5"/>
      <c r="G27" s="5"/>
      <c r="H27" s="5"/>
      <c r="I27" s="5"/>
      <c r="J27" s="5"/>
      <c r="K27" s="5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11"/>
      <c r="Y27" s="11"/>
      <c r="Z27" s="11"/>
      <c r="AA27" s="11"/>
      <c r="AB27" s="11"/>
      <c r="AC27" s="11"/>
      <c r="AD27" s="11"/>
      <c r="AE27" s="11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</row>
    <row r="28" spans="1:44" ht="14.25" customHeight="1" x14ac:dyDescent="0.2">
      <c r="A28" s="3"/>
      <c r="B28" s="3"/>
      <c r="C28" s="3"/>
      <c r="D28" s="3"/>
      <c r="E28" s="5"/>
      <c r="F28" s="5"/>
      <c r="G28" s="5"/>
      <c r="H28" s="5"/>
      <c r="I28" s="5"/>
      <c r="J28" s="5"/>
      <c r="K28" s="5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</row>
    <row r="29" spans="1:44" ht="14.25" customHeight="1" x14ac:dyDescent="0.2">
      <c r="A29" s="3"/>
      <c r="B29" s="3"/>
      <c r="C29" s="3"/>
      <c r="D29" s="3"/>
      <c r="E29" s="5"/>
      <c r="F29" s="5"/>
      <c r="G29" s="5"/>
      <c r="H29" s="5"/>
      <c r="I29" s="5"/>
      <c r="J29" s="5"/>
      <c r="K29" s="5"/>
      <c r="L29" s="5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</row>
    <row r="30" spans="1:44" ht="14.25" customHeight="1" x14ac:dyDescent="0.2">
      <c r="A30" s="3"/>
      <c r="B30" s="3"/>
      <c r="C30" s="3"/>
      <c r="D30" s="3"/>
      <c r="E30" s="5"/>
      <c r="F30" s="5"/>
      <c r="G30" s="5"/>
      <c r="H30" s="5"/>
      <c r="I30" s="5"/>
      <c r="J30" s="5"/>
      <c r="K30" s="5"/>
      <c r="L30" s="5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</row>
    <row r="31" spans="1:44" ht="14.25" customHeight="1" x14ac:dyDescent="0.2">
      <c r="A31" s="3"/>
      <c r="B31" s="3"/>
      <c r="C31" s="3"/>
      <c r="D31" s="3"/>
      <c r="E31" s="5"/>
      <c r="F31" s="5"/>
      <c r="G31" s="5"/>
      <c r="H31" s="5"/>
      <c r="I31" s="5"/>
      <c r="J31" s="5"/>
      <c r="K31" s="5"/>
      <c r="L31" s="5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</row>
    <row r="32" spans="1:44" ht="18.75" customHeight="1" x14ac:dyDescent="0.2">
      <c r="A32" s="3"/>
      <c r="B32" s="3"/>
      <c r="C32" s="3"/>
      <c r="D32" s="3"/>
      <c r="E32" s="5"/>
      <c r="F32" s="5"/>
      <c r="G32" s="5"/>
      <c r="H32" s="5"/>
      <c r="I32" s="5"/>
      <c r="J32" s="5"/>
      <c r="K32" s="5"/>
      <c r="L32" s="5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</row>
    <row r="33" spans="1:69" ht="12.75" customHeight="1" x14ac:dyDescent="0.2">
      <c r="A33" s="3"/>
      <c r="B33" s="3"/>
      <c r="C33" s="3"/>
      <c r="D33" s="3"/>
      <c r="E33" s="8"/>
      <c r="F33" s="8"/>
      <c r="G33" s="8"/>
      <c r="H33" s="8"/>
      <c r="I33" s="8"/>
      <c r="J33" s="8"/>
      <c r="K33" s="8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</row>
    <row r="34" spans="1:69" x14ac:dyDescent="0.2">
      <c r="E34" s="18"/>
      <c r="F34" s="18"/>
      <c r="G34" s="18"/>
      <c r="H34" s="18"/>
      <c r="I34" s="18"/>
      <c r="J34" s="18"/>
      <c r="K34" s="18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1"/>
      <c r="AB34" s="1"/>
      <c r="AC34" s="1"/>
      <c r="AD34" s="1"/>
      <c r="AE34" s="1"/>
      <c r="AF34" s="1"/>
      <c r="AG34" s="1"/>
      <c r="AH34" s="192"/>
      <c r="AI34" s="1"/>
      <c r="AJ34" s="225"/>
      <c r="AK34" s="1"/>
      <c r="AL34" s="1"/>
      <c r="AM34" s="1"/>
      <c r="AN34" s="1"/>
      <c r="AO34" s="1"/>
      <c r="AP34" s="1"/>
      <c r="AQ34" s="1"/>
      <c r="AR34" s="1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1"/>
      <c r="BM34" s="1"/>
      <c r="BN34" s="1"/>
      <c r="BO34" s="1"/>
      <c r="BP34" s="1"/>
      <c r="BQ34" s="3"/>
    </row>
    <row r="35" spans="1:69" x14ac:dyDescent="0.2">
      <c r="E35" s="13"/>
      <c r="F35" s="13"/>
      <c r="G35" s="13"/>
      <c r="H35" s="13"/>
      <c r="I35" s="13"/>
      <c r="J35" s="13"/>
      <c r="K35" s="13"/>
      <c r="L35" s="13"/>
      <c r="M35" s="14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92"/>
      <c r="AI35" s="12"/>
      <c r="AJ35" s="12"/>
      <c r="AK35" s="9"/>
      <c r="AL35" s="9"/>
      <c r="AM35" s="9"/>
      <c r="AN35" s="8"/>
      <c r="AO35" s="8"/>
      <c r="AP35" s="8"/>
      <c r="AQ35" s="8"/>
      <c r="AR35" s="8"/>
      <c r="AS35" s="326"/>
      <c r="AT35" s="308"/>
      <c r="AU35" s="308"/>
      <c r="AV35" s="308"/>
      <c r="AW35" s="308"/>
      <c r="AX35" s="308"/>
      <c r="AY35" s="308"/>
      <c r="AZ35" s="308"/>
      <c r="BA35" s="308"/>
      <c r="BB35" s="308"/>
      <c r="BC35" s="7"/>
      <c r="BD35" s="7"/>
      <c r="BE35" s="7"/>
      <c r="BF35" s="7"/>
      <c r="BG35" s="7"/>
      <c r="BH35" s="7"/>
      <c r="BI35" s="7"/>
      <c r="BJ35" s="7"/>
      <c r="BK35" s="7"/>
      <c r="BL35" s="5"/>
      <c r="BM35" s="5"/>
      <c r="BN35" s="5"/>
      <c r="BO35" s="5"/>
      <c r="BP35" s="5"/>
      <c r="BQ35" s="3"/>
    </row>
    <row r="36" spans="1:69" x14ac:dyDescent="0.2">
      <c r="E36" s="1"/>
      <c r="F36" s="309"/>
      <c r="G36" s="309"/>
      <c r="H36" s="1"/>
      <c r="I36" s="3"/>
      <c r="J36" s="3"/>
      <c r="K36" s="3"/>
      <c r="L36" s="1"/>
      <c r="M36" s="309"/>
      <c r="N36" s="309"/>
      <c r="O36" s="309"/>
      <c r="P36" s="309"/>
      <c r="Q36" s="1"/>
      <c r="R36" s="309"/>
      <c r="S36" s="309"/>
      <c r="T36" s="1"/>
      <c r="U36" s="309"/>
      <c r="V36" s="309"/>
      <c r="W36" s="1"/>
      <c r="X36" s="1"/>
      <c r="Y36" s="309"/>
      <c r="Z36" s="309"/>
      <c r="AA36" s="311"/>
      <c r="AB36" s="309"/>
      <c r="AC36" s="1"/>
      <c r="AD36" s="1"/>
      <c r="AE36" s="192"/>
      <c r="AF36" s="7"/>
      <c r="AG36" s="7"/>
      <c r="AH36" s="7"/>
      <c r="AI36" s="227"/>
      <c r="AJ36" s="227"/>
      <c r="AK36" s="21"/>
      <c r="AL36" s="310"/>
      <c r="AM36" s="311"/>
      <c r="AN36" s="5"/>
      <c r="AO36" s="308"/>
      <c r="AP36" s="308"/>
      <c r="AQ36" s="5"/>
      <c r="AR36" s="5"/>
      <c r="AS36" s="309"/>
      <c r="AT36" s="309"/>
      <c r="AU36" s="309"/>
      <c r="AV36" s="309"/>
      <c r="AW36" s="311"/>
      <c r="AX36" s="309"/>
      <c r="AY36" s="309"/>
      <c r="AZ36" s="309"/>
      <c r="BA36" s="309"/>
      <c r="BB36" s="309"/>
      <c r="BC36" s="1"/>
      <c r="BD36" s="1"/>
      <c r="BE36" s="5"/>
      <c r="BF36" s="5"/>
      <c r="BG36" s="5"/>
      <c r="BH36" s="5"/>
      <c r="BI36" s="5"/>
      <c r="BJ36" s="5"/>
      <c r="BK36" s="1"/>
      <c r="BL36" s="1"/>
      <c r="BM36" s="4"/>
      <c r="BN36" s="4"/>
      <c r="BO36" s="4"/>
      <c r="BP36" s="1"/>
      <c r="BQ36" s="3"/>
    </row>
    <row r="37" spans="1:69" ht="19.5" customHeight="1" x14ac:dyDescent="0.2">
      <c r="E37" s="15"/>
      <c r="F37" s="15"/>
      <c r="G37" s="15"/>
      <c r="H37" s="15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2"/>
      <c r="AO37" s="2"/>
      <c r="AP37" s="2"/>
      <c r="AQ37" s="2"/>
      <c r="AR37" s="1"/>
      <c r="AS37" s="1"/>
      <c r="AT37" s="1"/>
      <c r="AU37" s="1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6"/>
      <c r="BG37" s="4"/>
      <c r="BH37" s="6"/>
      <c r="BI37" s="4"/>
      <c r="BJ37" s="4"/>
      <c r="BK37" s="4"/>
      <c r="BL37" s="4"/>
      <c r="BM37" s="4"/>
      <c r="BN37" s="4"/>
      <c r="BO37" s="4"/>
      <c r="BP37" s="4"/>
      <c r="BQ37" s="3"/>
    </row>
    <row r="38" spans="1:69" ht="12.75" customHeight="1" x14ac:dyDescent="0.2">
      <c r="E38" s="3"/>
      <c r="F38" s="3"/>
      <c r="G38" s="3"/>
      <c r="H38" s="3"/>
      <c r="I38" s="3"/>
      <c r="J38" s="3"/>
      <c r="K38" s="3"/>
      <c r="L38" s="5"/>
      <c r="M38" s="5"/>
      <c r="N38" s="5"/>
      <c r="O38" s="5"/>
      <c r="P38" s="5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10"/>
      <c r="AJ38" s="10"/>
      <c r="AK38" s="10"/>
      <c r="AL38" s="10"/>
      <c r="AM38" s="10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3"/>
    </row>
    <row r="39" spans="1:69" x14ac:dyDescent="0.2">
      <c r="E39" s="3"/>
      <c r="F39" s="3"/>
      <c r="G39" s="3"/>
      <c r="H39" s="3"/>
      <c r="I39" s="3"/>
      <c r="J39" s="3"/>
      <c r="K39" s="3"/>
      <c r="L39" s="5"/>
      <c r="M39" s="5"/>
      <c r="N39" s="5"/>
      <c r="O39" s="5"/>
      <c r="P39" s="5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5"/>
      <c r="AG39" s="5"/>
      <c r="AH39" s="194"/>
      <c r="AI39" s="6"/>
      <c r="AJ39" s="230"/>
      <c r="AK39" s="11"/>
      <c r="AL39" s="11"/>
      <c r="AM39" s="11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</row>
    <row r="40" spans="1:69" x14ac:dyDescent="0.2">
      <c r="E40" s="3"/>
      <c r="F40" s="3"/>
      <c r="G40" s="3"/>
      <c r="H40" s="3"/>
      <c r="I40" s="3"/>
      <c r="J40" s="3"/>
      <c r="K40" s="3"/>
      <c r="L40" s="5"/>
      <c r="M40" s="5"/>
      <c r="N40" s="5"/>
      <c r="O40" s="5"/>
      <c r="P40" s="5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5"/>
      <c r="AG40" s="5"/>
      <c r="AH40" s="194"/>
      <c r="AI40" s="6"/>
      <c r="AJ40" s="230"/>
      <c r="AK40" s="11"/>
      <c r="AL40" s="11"/>
      <c r="AM40" s="11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</row>
    <row r="41" spans="1:69" x14ac:dyDescent="0.2">
      <c r="E41" s="3"/>
      <c r="F41" s="3"/>
      <c r="G41" s="3"/>
      <c r="H41" s="3"/>
      <c r="I41" s="3"/>
      <c r="J41" s="3"/>
      <c r="K41" s="3"/>
      <c r="L41" s="5"/>
      <c r="M41" s="5"/>
      <c r="N41" s="5"/>
      <c r="O41" s="5"/>
      <c r="P41" s="5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5"/>
      <c r="AG41" s="5"/>
      <c r="AH41" s="194"/>
      <c r="AI41" s="6"/>
      <c r="AJ41" s="230"/>
      <c r="AK41" s="11"/>
      <c r="AL41" s="11"/>
      <c r="AM41" s="11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</row>
    <row r="42" spans="1:69" x14ac:dyDescent="0.2">
      <c r="E42" s="3"/>
      <c r="F42" s="3"/>
      <c r="G42" s="3"/>
      <c r="H42" s="3"/>
      <c r="I42" s="3"/>
      <c r="J42" s="3"/>
      <c r="K42" s="3"/>
      <c r="L42" s="5"/>
      <c r="M42" s="5"/>
      <c r="N42" s="5"/>
      <c r="O42" s="5"/>
      <c r="P42" s="5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5"/>
      <c r="AG42" s="5"/>
      <c r="AH42" s="194"/>
      <c r="AI42" s="6"/>
      <c r="AJ42" s="230"/>
      <c r="AK42" s="11"/>
      <c r="AL42" s="11"/>
      <c r="AM42" s="11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</row>
    <row r="43" spans="1:69" x14ac:dyDescent="0.2">
      <c r="E43" s="3"/>
      <c r="F43" s="3"/>
      <c r="G43" s="3"/>
      <c r="H43" s="3"/>
      <c r="I43" s="3"/>
      <c r="J43" s="3"/>
      <c r="K43" s="3"/>
      <c r="L43" s="5"/>
      <c r="M43" s="5"/>
      <c r="N43" s="5"/>
      <c r="O43" s="5"/>
      <c r="P43" s="5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5"/>
      <c r="AG43" s="5"/>
      <c r="AH43" s="194"/>
      <c r="AI43" s="6"/>
      <c r="AJ43" s="230"/>
      <c r="AK43" s="11"/>
      <c r="AL43" s="11"/>
      <c r="AM43" s="11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</row>
    <row r="44" spans="1:69" x14ac:dyDescent="0.2">
      <c r="E44" s="3"/>
      <c r="F44" s="3"/>
      <c r="G44" s="3"/>
      <c r="H44" s="3"/>
      <c r="I44" s="3"/>
      <c r="J44" s="3"/>
      <c r="K44" s="3"/>
      <c r="L44" s="5"/>
      <c r="M44" s="5"/>
      <c r="N44" s="5"/>
      <c r="O44" s="5"/>
      <c r="P44" s="5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5"/>
      <c r="AG44" s="5"/>
      <c r="AH44" s="194"/>
      <c r="AI44" s="6"/>
      <c r="AJ44" s="230"/>
      <c r="AK44" s="11"/>
      <c r="AL44" s="11"/>
      <c r="AM44" s="11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</row>
    <row r="45" spans="1:69" x14ac:dyDescent="0.2">
      <c r="E45" s="3"/>
      <c r="F45" s="3"/>
      <c r="G45" s="3"/>
      <c r="H45" s="3"/>
      <c r="I45" s="3"/>
      <c r="J45" s="3"/>
      <c r="K45" s="3"/>
      <c r="L45" s="5"/>
      <c r="M45" s="5"/>
      <c r="N45" s="5"/>
      <c r="O45" s="5"/>
      <c r="P45" s="5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5"/>
      <c r="AG45" s="5"/>
      <c r="AH45" s="194"/>
      <c r="AI45" s="6"/>
      <c r="AJ45" s="230"/>
      <c r="AK45" s="11"/>
      <c r="AL45" s="11"/>
      <c r="AM45" s="11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</row>
    <row r="46" spans="1:69" x14ac:dyDescent="0.2">
      <c r="E46" s="3"/>
      <c r="F46" s="3"/>
      <c r="G46" s="3"/>
      <c r="H46" s="3"/>
      <c r="I46" s="3"/>
      <c r="J46" s="3"/>
      <c r="K46" s="3"/>
      <c r="L46" s="5"/>
      <c r="M46" s="5"/>
      <c r="N46" s="5"/>
      <c r="O46" s="5"/>
      <c r="P46" s="5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5"/>
      <c r="AG46" s="5"/>
      <c r="AH46" s="194"/>
      <c r="AI46" s="6"/>
      <c r="AJ46" s="230"/>
      <c r="AK46" s="11"/>
      <c r="AL46" s="11"/>
      <c r="AM46" s="11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</row>
    <row r="47" spans="1:69" x14ac:dyDescent="0.2">
      <c r="E47" s="3"/>
      <c r="F47" s="3"/>
      <c r="G47" s="3"/>
      <c r="H47" s="3"/>
      <c r="I47" s="3"/>
      <c r="J47" s="3"/>
      <c r="K47" s="3"/>
      <c r="L47" s="5"/>
      <c r="M47" s="5"/>
      <c r="N47" s="5"/>
      <c r="O47" s="5"/>
      <c r="P47" s="5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5"/>
      <c r="AG47" s="5"/>
      <c r="AH47" s="194"/>
      <c r="AI47" s="6"/>
      <c r="AJ47" s="230"/>
      <c r="AK47" s="11"/>
      <c r="AL47" s="11"/>
      <c r="AM47" s="11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</row>
    <row r="48" spans="1:69" x14ac:dyDescent="0.2">
      <c r="E48" s="3"/>
      <c r="F48" s="3"/>
      <c r="G48" s="3"/>
      <c r="H48" s="3"/>
      <c r="I48" s="3"/>
      <c r="J48" s="3"/>
      <c r="K48" s="3"/>
      <c r="L48" s="5"/>
      <c r="M48" s="5"/>
      <c r="N48" s="5"/>
      <c r="O48" s="5"/>
      <c r="P48" s="5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5"/>
      <c r="AG48" s="5"/>
      <c r="AH48" s="194"/>
      <c r="AI48" s="6"/>
      <c r="AJ48" s="230"/>
      <c r="AK48" s="11"/>
      <c r="AL48" s="11"/>
      <c r="AM48" s="11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</row>
    <row r="49" spans="5:69" x14ac:dyDescent="0.2">
      <c r="E49" s="3"/>
      <c r="F49" s="3"/>
      <c r="G49" s="3"/>
      <c r="H49" s="3"/>
      <c r="I49" s="3"/>
      <c r="J49" s="3"/>
      <c r="K49" s="3"/>
      <c r="L49" s="8"/>
      <c r="M49" s="8"/>
      <c r="N49" s="8"/>
      <c r="O49" s="8"/>
      <c r="P49" s="8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5"/>
      <c r="AG49" s="5"/>
      <c r="AH49" s="194"/>
      <c r="AI49" s="6"/>
      <c r="AJ49" s="230"/>
      <c r="AK49" s="11"/>
      <c r="AL49" s="11"/>
      <c r="AM49" s="11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</row>
    <row r="50" spans="5:69" x14ac:dyDescent="0.2">
      <c r="E50" s="8"/>
      <c r="F50" s="8"/>
      <c r="G50" s="8"/>
      <c r="H50" s="8"/>
      <c r="I50" s="8"/>
      <c r="J50" s="8"/>
      <c r="K50" s="8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8"/>
      <c r="AG50" s="8"/>
      <c r="AH50" s="193"/>
      <c r="AI50" s="9"/>
      <c r="AJ50" s="232"/>
      <c r="AK50" s="11"/>
      <c r="AL50" s="11"/>
      <c r="AM50" s="11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</row>
    <row r="51" spans="5:69" x14ac:dyDescent="0.2">
      <c r="E51" s="8"/>
      <c r="F51" s="8"/>
      <c r="G51" s="8"/>
      <c r="H51" s="8"/>
      <c r="I51" s="8"/>
      <c r="J51" s="8"/>
      <c r="K51" s="8"/>
      <c r="L51" s="8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11"/>
      <c r="AJ51" s="11"/>
      <c r="AK51" s="11"/>
      <c r="AL51" s="11"/>
      <c r="AM51" s="11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</row>
    <row r="52" spans="5:69" x14ac:dyDescent="0.2"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11"/>
      <c r="AJ52" s="11"/>
      <c r="AK52" s="11"/>
      <c r="AL52" s="11"/>
      <c r="AM52" s="11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</row>
    <row r="53" spans="5:69" x14ac:dyDescent="0.2"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</row>
    <row r="54" spans="5:69" x14ac:dyDescent="0.2"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</row>
    <row r="55" spans="5:69" x14ac:dyDescent="0.2"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</row>
    <row r="56" spans="5:69" x14ac:dyDescent="0.2"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</row>
    <row r="57" spans="5:69" x14ac:dyDescent="0.2"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</row>
    <row r="58" spans="5:69" x14ac:dyDescent="0.2"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</row>
    <row r="59" spans="5:69" ht="60" customHeight="1" x14ac:dyDescent="0.2"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</row>
    <row r="60" spans="5:69" x14ac:dyDescent="0.2"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</row>
    <row r="61" spans="5:69" x14ac:dyDescent="0.2"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</row>
    <row r="62" spans="5:69" x14ac:dyDescent="0.2"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</row>
    <row r="63" spans="5:69" x14ac:dyDescent="0.2"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</row>
    <row r="64" spans="5:69" x14ac:dyDescent="0.2"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</row>
    <row r="65" spans="5:44" x14ac:dyDescent="0.2"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</row>
  </sheetData>
  <mergeCells count="27">
    <mergeCell ref="AK3:AL3"/>
    <mergeCell ref="AG2:AL2"/>
    <mergeCell ref="F36:G36"/>
    <mergeCell ref="O36:P36"/>
    <mergeCell ref="AA36:AB36"/>
    <mergeCell ref="AS35:BB35"/>
    <mergeCell ref="BA36:BB36"/>
    <mergeCell ref="AY36:AZ36"/>
    <mergeCell ref="AW36:AX36"/>
    <mergeCell ref="AU36:AV36"/>
    <mergeCell ref="AS36:AT36"/>
    <mergeCell ref="A1:D4"/>
    <mergeCell ref="F1:AL1"/>
    <mergeCell ref="AO36:AP36"/>
    <mergeCell ref="U36:V36"/>
    <mergeCell ref="R36:S36"/>
    <mergeCell ref="M36:N36"/>
    <mergeCell ref="Y36:Z36"/>
    <mergeCell ref="AL36:AM36"/>
    <mergeCell ref="F2:V2"/>
    <mergeCell ref="F3:K3"/>
    <mergeCell ref="AG3:AI3"/>
    <mergeCell ref="X2:AE2"/>
    <mergeCell ref="M3:P3"/>
    <mergeCell ref="R3:V3"/>
    <mergeCell ref="AD3:AE3"/>
    <mergeCell ref="X3:AB3"/>
  </mergeCells>
  <phoneticPr fontId="2" type="noConversion"/>
  <printOptions horizontalCentered="1" gridLines="1"/>
  <pageMargins left="0" right="0" top="1.32" bottom="0.18" header="0.4" footer="0.18"/>
  <pageSetup paperSize="5" scale="60" orientation="landscape" r:id="rId1"/>
  <headerFooter alignWithMargins="0">
    <oddHeader>&amp;CGeneral Election
Tuesday, November 6, 2018
Missaukee County, Michigan
Final Official Results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59"/>
  <sheetViews>
    <sheetView view="pageLayout" topLeftCell="A4" zoomScaleNormal="100" workbookViewId="0">
      <selection activeCell="R16" sqref="R16"/>
    </sheetView>
  </sheetViews>
  <sheetFormatPr defaultRowHeight="12.75" x14ac:dyDescent="0.2"/>
  <cols>
    <col min="1" max="1" width="11.5703125" customWidth="1"/>
    <col min="2" max="2" width="0.5703125" customWidth="1"/>
    <col min="3" max="13" width="5.140625" customWidth="1"/>
    <col min="14" max="14" width="0.5703125" customWidth="1"/>
    <col min="15" max="15" width="5.140625" customWidth="1"/>
    <col min="16" max="16" width="5.28515625" customWidth="1"/>
    <col min="17" max="20" width="5" customWidth="1"/>
    <col min="21" max="22" width="4.7109375" customWidth="1"/>
    <col min="23" max="23" width="5.140625" customWidth="1"/>
    <col min="24" max="24" width="4.7109375" customWidth="1"/>
    <col min="25" max="25" width="0.5703125" customWidth="1"/>
    <col min="26" max="26" width="4.85546875" customWidth="1"/>
    <col min="27" max="27" width="5" customWidth="1"/>
    <col min="28" max="28" width="5.140625" customWidth="1"/>
    <col min="29" max="29" width="4.85546875" customWidth="1"/>
    <col min="30" max="35" width="4.7109375" customWidth="1"/>
    <col min="36" max="37" width="0.5703125" customWidth="1"/>
    <col min="38" max="38" width="6.140625" customWidth="1"/>
    <col min="39" max="39" width="0.5703125" customWidth="1"/>
    <col min="40" max="47" width="4.7109375" customWidth="1"/>
    <col min="48" max="48" width="0.5703125" customWidth="1"/>
    <col min="49" max="49" width="5.7109375" customWidth="1"/>
    <col min="50" max="50" width="0.5703125" customWidth="1"/>
    <col min="51" max="51" width="7.28515625" customWidth="1"/>
    <col min="52" max="52" width="0.5703125" customWidth="1"/>
    <col min="53" max="57" width="4.7109375" customWidth="1"/>
    <col min="58" max="58" width="0.5703125" customWidth="1"/>
    <col min="59" max="61" width="4.7109375" customWidth="1"/>
    <col min="62" max="62" width="0.5703125" customWidth="1"/>
    <col min="63" max="65" width="4.85546875" customWidth="1"/>
    <col min="66" max="66" width="1.85546875" customWidth="1"/>
    <col min="67" max="67" width="7.140625" customWidth="1"/>
    <col min="68" max="68" width="0.5703125" customWidth="1"/>
    <col min="69" max="70" width="4.85546875" customWidth="1"/>
    <col min="71" max="71" width="0.5703125" customWidth="1"/>
  </cols>
  <sheetData>
    <row r="1" spans="1:72" ht="17.25" customHeight="1" x14ac:dyDescent="0.2">
      <c r="A1" s="329" t="s">
        <v>116</v>
      </c>
      <c r="B1" s="277"/>
      <c r="C1" s="334" t="s">
        <v>156</v>
      </c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7"/>
      <c r="O1" s="297"/>
      <c r="P1" s="297"/>
      <c r="Q1" s="297"/>
      <c r="R1" s="297"/>
      <c r="S1" s="297"/>
      <c r="T1" s="297"/>
      <c r="U1" s="297"/>
      <c r="V1" s="297"/>
      <c r="W1" s="297"/>
      <c r="X1" s="297"/>
      <c r="Y1" s="297"/>
      <c r="Z1" s="297"/>
      <c r="AA1" s="297"/>
      <c r="AB1" s="297"/>
      <c r="AC1" s="297"/>
      <c r="AD1" s="297"/>
      <c r="AE1" s="297"/>
      <c r="AF1" s="297"/>
      <c r="AG1" s="297"/>
      <c r="AH1" s="297"/>
      <c r="AI1" s="297"/>
      <c r="AJ1" s="297"/>
      <c r="AK1" s="196"/>
      <c r="AL1" s="351"/>
      <c r="AM1" s="352"/>
      <c r="AN1" s="352"/>
      <c r="AO1" s="352"/>
      <c r="AP1" s="352"/>
      <c r="AQ1" s="352"/>
      <c r="AR1" s="352"/>
      <c r="AS1" s="352"/>
      <c r="AT1" s="352"/>
      <c r="AU1" s="352"/>
      <c r="AV1" s="6"/>
      <c r="AW1" s="355"/>
      <c r="AX1" s="355"/>
      <c r="AY1" s="355"/>
      <c r="AZ1" s="9"/>
      <c r="BA1" s="352"/>
      <c r="BB1" s="311"/>
      <c r="BC1" s="311"/>
      <c r="BD1" s="311"/>
      <c r="BE1" s="311"/>
      <c r="BF1" s="311"/>
      <c r="BG1" s="311"/>
      <c r="BH1" s="311"/>
      <c r="BI1" s="311"/>
      <c r="BJ1" s="311"/>
      <c r="BK1" s="311"/>
      <c r="BL1" s="311"/>
      <c r="BM1" s="311"/>
      <c r="BN1" s="311"/>
      <c r="BO1" s="6"/>
      <c r="BP1" s="6"/>
      <c r="BQ1" s="6"/>
      <c r="BR1" s="6"/>
      <c r="BS1" s="6"/>
      <c r="BT1" s="11"/>
    </row>
    <row r="2" spans="1:72" ht="17.25" customHeight="1" x14ac:dyDescent="0.2">
      <c r="A2" s="330"/>
      <c r="B2" s="245"/>
      <c r="C2" s="335" t="s">
        <v>23</v>
      </c>
      <c r="D2" s="336"/>
      <c r="E2" s="336"/>
      <c r="F2" s="336"/>
      <c r="G2" s="336"/>
      <c r="H2" s="336"/>
      <c r="I2" s="336"/>
      <c r="J2" s="336"/>
      <c r="K2" s="336"/>
      <c r="L2" s="336"/>
      <c r="M2" s="336"/>
      <c r="N2" s="336"/>
      <c r="O2" s="336"/>
      <c r="P2" s="336"/>
      <c r="Q2" s="336"/>
      <c r="R2" s="336"/>
      <c r="S2" s="336"/>
      <c r="T2" s="336"/>
      <c r="U2" s="336"/>
      <c r="V2" s="336"/>
      <c r="W2" s="336"/>
      <c r="X2" s="336"/>
      <c r="Y2" s="336"/>
      <c r="Z2" s="336"/>
      <c r="AA2" s="336"/>
      <c r="AB2" s="336"/>
      <c r="AC2" s="336"/>
      <c r="AD2" s="336"/>
      <c r="AE2" s="336"/>
      <c r="AF2" s="336"/>
      <c r="AG2" s="336"/>
      <c r="AH2" s="336"/>
      <c r="AI2" s="336"/>
      <c r="AJ2" s="337"/>
      <c r="AK2" s="198"/>
      <c r="AL2" s="354"/>
      <c r="AM2" s="88"/>
      <c r="AN2" s="353"/>
      <c r="AO2" s="310"/>
      <c r="AP2" s="310"/>
      <c r="AQ2" s="310"/>
      <c r="AR2" s="310"/>
      <c r="AS2" s="310"/>
      <c r="AT2" s="310"/>
      <c r="AU2" s="310"/>
      <c r="AV2" s="21"/>
      <c r="AW2" s="21"/>
      <c r="AX2" s="6"/>
      <c r="AY2" s="21"/>
      <c r="AZ2" s="6"/>
      <c r="BA2" s="311"/>
      <c r="BB2" s="311"/>
      <c r="BC2" s="311"/>
      <c r="BD2" s="311"/>
      <c r="BE2" s="311"/>
      <c r="BF2" s="311"/>
      <c r="BG2" s="311"/>
      <c r="BH2" s="311"/>
      <c r="BI2" s="311"/>
      <c r="BJ2" s="311"/>
      <c r="BK2" s="311"/>
      <c r="BL2" s="311"/>
      <c r="BM2" s="311"/>
      <c r="BN2" s="311"/>
      <c r="BO2" s="4"/>
      <c r="BP2" s="4"/>
      <c r="BQ2" s="4"/>
      <c r="BR2" s="4"/>
      <c r="BS2" s="4"/>
      <c r="BT2" s="11"/>
    </row>
    <row r="3" spans="1:72" ht="25.5" customHeight="1" x14ac:dyDescent="0.2">
      <c r="A3" s="330"/>
      <c r="B3" s="202"/>
      <c r="C3" s="338" t="s">
        <v>158</v>
      </c>
      <c r="D3" s="339"/>
      <c r="E3" s="339"/>
      <c r="F3" s="339"/>
      <c r="G3" s="339"/>
      <c r="H3" s="339"/>
      <c r="I3" s="339"/>
      <c r="J3" s="339"/>
      <c r="K3" s="339"/>
      <c r="L3" s="339"/>
      <c r="M3" s="340"/>
      <c r="N3" s="204"/>
      <c r="O3" s="324" t="s">
        <v>65</v>
      </c>
      <c r="P3" s="325"/>
      <c r="Q3" s="325"/>
      <c r="R3" s="325"/>
      <c r="S3" s="325"/>
      <c r="T3" s="325"/>
      <c r="U3" s="325"/>
      <c r="V3" s="325"/>
      <c r="W3" s="325"/>
      <c r="X3" s="325"/>
      <c r="Y3" s="219"/>
      <c r="Z3" s="324" t="s">
        <v>63</v>
      </c>
      <c r="AA3" s="325"/>
      <c r="AB3" s="325"/>
      <c r="AC3" s="325"/>
      <c r="AD3" s="325"/>
      <c r="AE3" s="325"/>
      <c r="AF3" s="325"/>
      <c r="AG3" s="325"/>
      <c r="AH3" s="325"/>
      <c r="AI3" s="325"/>
      <c r="AJ3" s="286"/>
      <c r="AK3" s="195"/>
      <c r="AL3" s="354"/>
      <c r="AM3" s="88"/>
      <c r="AN3" s="89"/>
      <c r="AO3" s="90"/>
      <c r="AP3" s="88"/>
      <c r="AQ3" s="88"/>
      <c r="AR3" s="88"/>
      <c r="AS3" s="352"/>
      <c r="AT3" s="352"/>
      <c r="AU3" s="88"/>
      <c r="AV3" s="6"/>
      <c r="AW3" s="21"/>
      <c r="AX3" s="21"/>
      <c r="AY3" s="21"/>
      <c r="AZ3" s="21"/>
      <c r="BA3" s="355"/>
      <c r="BB3" s="311"/>
      <c r="BC3" s="311"/>
      <c r="BD3" s="311"/>
      <c r="BE3" s="311"/>
      <c r="BF3" s="311"/>
      <c r="BG3" s="311"/>
      <c r="BH3" s="311"/>
      <c r="BI3" s="311"/>
      <c r="BJ3" s="311"/>
      <c r="BK3" s="311"/>
      <c r="BL3" s="311"/>
      <c r="BM3" s="311"/>
      <c r="BN3" s="4"/>
      <c r="BO3" s="4"/>
      <c r="BP3" s="4"/>
      <c r="BQ3" s="4"/>
      <c r="BR3" s="4"/>
      <c r="BS3" s="4"/>
      <c r="BT3" s="11"/>
    </row>
    <row r="4" spans="1:72" ht="28.5" customHeight="1" x14ac:dyDescent="0.2">
      <c r="A4" s="330"/>
      <c r="B4" s="221"/>
      <c r="C4" s="341" t="s">
        <v>11</v>
      </c>
      <c r="D4" s="342"/>
      <c r="E4" s="343" t="s">
        <v>12</v>
      </c>
      <c r="F4" s="344"/>
      <c r="G4" s="345" t="s">
        <v>20</v>
      </c>
      <c r="H4" s="346"/>
      <c r="I4" s="332" t="s">
        <v>21</v>
      </c>
      <c r="J4" s="347"/>
      <c r="K4" s="76" t="s">
        <v>18</v>
      </c>
      <c r="L4" s="348" t="s">
        <v>159</v>
      </c>
      <c r="M4" s="349"/>
      <c r="N4" s="215"/>
      <c r="O4" s="341" t="s">
        <v>11</v>
      </c>
      <c r="P4" s="342"/>
      <c r="Q4" s="343" t="s">
        <v>12</v>
      </c>
      <c r="R4" s="344"/>
      <c r="S4" s="345" t="s">
        <v>20</v>
      </c>
      <c r="T4" s="346"/>
      <c r="U4" s="332" t="s">
        <v>21</v>
      </c>
      <c r="V4" s="347"/>
      <c r="W4" s="76" t="s">
        <v>18</v>
      </c>
      <c r="X4" s="79" t="s">
        <v>19</v>
      </c>
      <c r="Y4" s="28"/>
      <c r="Z4" s="341" t="s">
        <v>11</v>
      </c>
      <c r="AA4" s="342"/>
      <c r="AB4" s="343" t="s">
        <v>12</v>
      </c>
      <c r="AC4" s="344"/>
      <c r="AD4" s="345" t="s">
        <v>20</v>
      </c>
      <c r="AE4" s="346"/>
      <c r="AF4" s="332" t="s">
        <v>21</v>
      </c>
      <c r="AG4" s="333"/>
      <c r="AH4" s="76" t="s">
        <v>18</v>
      </c>
      <c r="AI4" s="278" t="s">
        <v>19</v>
      </c>
      <c r="AJ4" s="287"/>
      <c r="AK4" s="91"/>
      <c r="AL4" s="198"/>
      <c r="AM4" s="82"/>
      <c r="AN4" s="310"/>
      <c r="AO4" s="310"/>
      <c r="AP4" s="310"/>
      <c r="AQ4" s="310"/>
      <c r="AR4" s="310"/>
      <c r="AS4" s="310"/>
      <c r="AT4" s="197"/>
      <c r="AU4" s="197"/>
      <c r="AV4" s="6"/>
      <c r="AW4" s="4"/>
      <c r="AX4" s="4"/>
      <c r="AY4" s="4"/>
      <c r="AZ4" s="4"/>
      <c r="BA4" s="311"/>
      <c r="BB4" s="311"/>
      <c r="BC4" s="311"/>
      <c r="BD4" s="311"/>
      <c r="BE4" s="311"/>
      <c r="BF4" s="4"/>
      <c r="BG4" s="350"/>
      <c r="BH4" s="350"/>
      <c r="BI4" s="350"/>
      <c r="BJ4" s="4"/>
      <c r="BK4" s="350"/>
      <c r="BL4" s="350"/>
      <c r="BM4" s="350"/>
      <c r="BN4" s="4"/>
      <c r="BO4" s="62"/>
      <c r="BP4" s="4"/>
      <c r="BQ4" s="350"/>
      <c r="BR4" s="350"/>
      <c r="BS4" s="4"/>
      <c r="BT4" s="11"/>
    </row>
    <row r="5" spans="1:72" ht="70.150000000000006" customHeight="1" x14ac:dyDescent="0.2">
      <c r="A5" s="331"/>
      <c r="B5" s="246"/>
      <c r="C5" s="39" t="s">
        <v>160</v>
      </c>
      <c r="D5" s="39" t="s">
        <v>161</v>
      </c>
      <c r="E5" s="39" t="s">
        <v>162</v>
      </c>
      <c r="F5" s="39" t="s">
        <v>163</v>
      </c>
      <c r="G5" s="39" t="s">
        <v>164</v>
      </c>
      <c r="H5" s="39" t="s">
        <v>165</v>
      </c>
      <c r="I5" s="39" t="s">
        <v>93</v>
      </c>
      <c r="J5" s="39" t="s">
        <v>94</v>
      </c>
      <c r="K5" s="39" t="s">
        <v>34</v>
      </c>
      <c r="L5" s="39" t="s">
        <v>95</v>
      </c>
      <c r="M5" s="39" t="s">
        <v>96</v>
      </c>
      <c r="N5" s="220"/>
      <c r="O5" s="39" t="s">
        <v>166</v>
      </c>
      <c r="P5" s="39" t="s">
        <v>167</v>
      </c>
      <c r="Q5" s="39" t="s">
        <v>168</v>
      </c>
      <c r="R5" s="39" t="s">
        <v>169</v>
      </c>
      <c r="S5" s="39" t="s">
        <v>170</v>
      </c>
      <c r="T5" s="39" t="s">
        <v>171</v>
      </c>
      <c r="U5" s="52" t="s">
        <v>179</v>
      </c>
      <c r="V5" s="52" t="s">
        <v>172</v>
      </c>
      <c r="W5" s="52" t="s">
        <v>97</v>
      </c>
      <c r="X5" s="52" t="s">
        <v>98</v>
      </c>
      <c r="Y5" s="81"/>
      <c r="Z5" s="52" t="s">
        <v>173</v>
      </c>
      <c r="AA5" s="52" t="s">
        <v>174</v>
      </c>
      <c r="AB5" s="52" t="s">
        <v>175</v>
      </c>
      <c r="AC5" s="52" t="s">
        <v>176</v>
      </c>
      <c r="AD5" s="52" t="s">
        <v>177</v>
      </c>
      <c r="AE5" s="52" t="s">
        <v>178</v>
      </c>
      <c r="AF5" s="52" t="s">
        <v>99</v>
      </c>
      <c r="AG5" s="52" t="s">
        <v>100</v>
      </c>
      <c r="AH5" s="52" t="s">
        <v>101</v>
      </c>
      <c r="AI5" s="40" t="s">
        <v>180</v>
      </c>
      <c r="AJ5" s="279"/>
      <c r="AK5" s="218"/>
      <c r="AL5" s="83"/>
      <c r="AM5" s="91"/>
      <c r="AN5" s="91"/>
      <c r="AO5" s="91"/>
      <c r="AP5" s="91"/>
      <c r="AQ5" s="91"/>
      <c r="AR5" s="91"/>
      <c r="AS5" s="61"/>
      <c r="AT5" s="61"/>
      <c r="AU5" s="61"/>
      <c r="AV5" s="61"/>
      <c r="AW5" s="63"/>
      <c r="AX5" s="61"/>
      <c r="AY5" s="63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3"/>
      <c r="BP5" s="61"/>
      <c r="BQ5" s="16"/>
      <c r="BR5" s="16"/>
      <c r="BS5" s="10"/>
      <c r="BT5" s="11"/>
    </row>
    <row r="6" spans="1:72" ht="15.75" customHeight="1" x14ac:dyDescent="0.2">
      <c r="A6" s="54" t="s">
        <v>0</v>
      </c>
      <c r="B6" s="205"/>
      <c r="C6" s="13">
        <v>129</v>
      </c>
      <c r="D6" s="13">
        <v>131</v>
      </c>
      <c r="E6" s="13">
        <v>27</v>
      </c>
      <c r="F6" s="13">
        <v>16</v>
      </c>
      <c r="G6" s="13">
        <v>3</v>
      </c>
      <c r="H6" s="13">
        <v>4</v>
      </c>
      <c r="I6" s="13">
        <v>3</v>
      </c>
      <c r="J6" s="13">
        <v>0</v>
      </c>
      <c r="K6" s="13">
        <v>4</v>
      </c>
      <c r="L6" s="13">
        <v>6</v>
      </c>
      <c r="M6" s="13">
        <v>11</v>
      </c>
      <c r="N6" s="205"/>
      <c r="O6" s="224">
        <v>134</v>
      </c>
      <c r="P6" s="224">
        <v>133</v>
      </c>
      <c r="Q6" s="224">
        <v>23</v>
      </c>
      <c r="R6" s="230">
        <v>17</v>
      </c>
      <c r="S6" s="230">
        <v>2</v>
      </c>
      <c r="T6" s="230">
        <v>3</v>
      </c>
      <c r="U6" s="230">
        <v>4</v>
      </c>
      <c r="V6" s="230">
        <v>4</v>
      </c>
      <c r="W6" s="230">
        <v>2</v>
      </c>
      <c r="X6" s="230">
        <v>3</v>
      </c>
      <c r="Y6" s="26"/>
      <c r="Z6" s="230">
        <v>133</v>
      </c>
      <c r="AA6" s="230">
        <v>130</v>
      </c>
      <c r="AB6" s="230">
        <v>22</v>
      </c>
      <c r="AC6" s="230">
        <v>19</v>
      </c>
      <c r="AD6" s="230">
        <v>4</v>
      </c>
      <c r="AE6" s="230">
        <v>4</v>
      </c>
      <c r="AF6" s="230">
        <v>2</v>
      </c>
      <c r="AG6" s="230">
        <v>3</v>
      </c>
      <c r="AH6" s="230">
        <v>3</v>
      </c>
      <c r="AI6" s="230">
        <v>2</v>
      </c>
      <c r="AJ6" s="276"/>
      <c r="AK6" s="228"/>
      <c r="AL6" s="197"/>
      <c r="AM6" s="197"/>
      <c r="AN6" s="197"/>
      <c r="AO6" s="197"/>
      <c r="AP6" s="197"/>
      <c r="AQ6" s="197"/>
      <c r="AR6" s="197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</row>
    <row r="7" spans="1:72" ht="15.75" customHeight="1" x14ac:dyDescent="0.2">
      <c r="A7" s="55" t="s">
        <v>46</v>
      </c>
      <c r="B7" s="205"/>
      <c r="C7" s="13">
        <v>151</v>
      </c>
      <c r="D7" s="13">
        <v>137</v>
      </c>
      <c r="E7" s="13">
        <v>72</v>
      </c>
      <c r="F7" s="13">
        <v>67</v>
      </c>
      <c r="G7" s="13">
        <v>4</v>
      </c>
      <c r="H7" s="13">
        <v>2</v>
      </c>
      <c r="I7" s="13">
        <v>3</v>
      </c>
      <c r="J7" s="13">
        <v>0</v>
      </c>
      <c r="K7" s="13">
        <v>1</v>
      </c>
      <c r="L7" s="13">
        <v>7</v>
      </c>
      <c r="M7" s="13">
        <v>16</v>
      </c>
      <c r="N7" s="205"/>
      <c r="O7" s="224">
        <v>144</v>
      </c>
      <c r="P7" s="224">
        <v>141</v>
      </c>
      <c r="Q7" s="224">
        <v>75</v>
      </c>
      <c r="R7" s="230">
        <v>68</v>
      </c>
      <c r="S7" s="230">
        <v>3</v>
      </c>
      <c r="T7" s="230">
        <v>3</v>
      </c>
      <c r="U7" s="230">
        <v>2</v>
      </c>
      <c r="V7" s="230">
        <v>10</v>
      </c>
      <c r="W7" s="230">
        <v>4</v>
      </c>
      <c r="X7" s="230">
        <v>4</v>
      </c>
      <c r="Y7" s="26"/>
      <c r="Z7" s="230">
        <v>146</v>
      </c>
      <c r="AA7" s="230">
        <v>142</v>
      </c>
      <c r="AB7" s="230">
        <v>71</v>
      </c>
      <c r="AC7" s="230">
        <v>71</v>
      </c>
      <c r="AD7" s="230">
        <v>6</v>
      </c>
      <c r="AE7" s="230">
        <v>4</v>
      </c>
      <c r="AF7" s="230">
        <v>5</v>
      </c>
      <c r="AG7" s="230">
        <v>4</v>
      </c>
      <c r="AH7" s="230">
        <v>2</v>
      </c>
      <c r="AI7" s="230">
        <v>2</v>
      </c>
      <c r="AJ7" s="276"/>
      <c r="AK7" s="228"/>
      <c r="AL7" s="197"/>
      <c r="AM7" s="197"/>
      <c r="AN7" s="197"/>
      <c r="AO7" s="197"/>
      <c r="AP7" s="197"/>
      <c r="AQ7" s="197"/>
      <c r="AR7" s="197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</row>
    <row r="8" spans="1:72" ht="15.75" customHeight="1" x14ac:dyDescent="0.2">
      <c r="A8" s="55" t="s">
        <v>47</v>
      </c>
      <c r="B8" s="205"/>
      <c r="C8" s="13">
        <v>114</v>
      </c>
      <c r="D8" s="13">
        <v>109</v>
      </c>
      <c r="E8" s="13">
        <v>48</v>
      </c>
      <c r="F8" s="13">
        <v>40</v>
      </c>
      <c r="G8" s="13">
        <v>5</v>
      </c>
      <c r="H8" s="13">
        <v>7</v>
      </c>
      <c r="I8" s="13">
        <v>8</v>
      </c>
      <c r="J8" s="13">
        <v>4</v>
      </c>
      <c r="K8" s="13">
        <v>3</v>
      </c>
      <c r="L8" s="13">
        <v>9</v>
      </c>
      <c r="M8" s="291">
        <v>4</v>
      </c>
      <c r="N8" s="205"/>
      <c r="O8" s="224">
        <v>115</v>
      </c>
      <c r="P8" s="224">
        <v>99</v>
      </c>
      <c r="Q8" s="224">
        <v>45</v>
      </c>
      <c r="R8" s="12">
        <v>39</v>
      </c>
      <c r="S8" s="230">
        <v>5</v>
      </c>
      <c r="T8" s="230">
        <v>7</v>
      </c>
      <c r="U8" s="230">
        <v>11</v>
      </c>
      <c r="V8" s="230">
        <v>15</v>
      </c>
      <c r="W8" s="230">
        <v>1</v>
      </c>
      <c r="X8" s="230">
        <v>1</v>
      </c>
      <c r="Y8" s="26"/>
      <c r="Z8" s="230">
        <v>110</v>
      </c>
      <c r="AA8" s="230">
        <v>101</v>
      </c>
      <c r="AB8" s="230">
        <v>47</v>
      </c>
      <c r="AC8" s="230">
        <v>41</v>
      </c>
      <c r="AD8" s="230">
        <v>8</v>
      </c>
      <c r="AE8" s="230">
        <v>7</v>
      </c>
      <c r="AF8" s="230">
        <v>9</v>
      </c>
      <c r="AG8" s="230">
        <v>9</v>
      </c>
      <c r="AH8" s="230">
        <v>1</v>
      </c>
      <c r="AI8" s="230">
        <v>5</v>
      </c>
      <c r="AJ8" s="276"/>
      <c r="AK8" s="228"/>
      <c r="AL8" s="197"/>
      <c r="AM8" s="197"/>
      <c r="AN8" s="197"/>
      <c r="AO8" s="197"/>
      <c r="AP8" s="197"/>
      <c r="AQ8" s="197"/>
      <c r="AR8" s="197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</row>
    <row r="9" spans="1:72" ht="15.75" customHeight="1" x14ac:dyDescent="0.2">
      <c r="A9" s="55" t="s">
        <v>48</v>
      </c>
      <c r="B9" s="205"/>
      <c r="C9" s="13">
        <v>343</v>
      </c>
      <c r="D9" s="13">
        <v>309</v>
      </c>
      <c r="E9" s="13">
        <v>93</v>
      </c>
      <c r="F9" s="13">
        <v>78</v>
      </c>
      <c r="G9" s="13">
        <v>11</v>
      </c>
      <c r="H9" s="13">
        <v>4</v>
      </c>
      <c r="I9" s="13">
        <v>14</v>
      </c>
      <c r="J9" s="13">
        <v>4</v>
      </c>
      <c r="K9" s="13">
        <v>4</v>
      </c>
      <c r="L9" s="13">
        <v>18</v>
      </c>
      <c r="M9" s="13">
        <v>22</v>
      </c>
      <c r="N9" s="205"/>
      <c r="O9" s="224">
        <v>332</v>
      </c>
      <c r="P9" s="224">
        <v>321</v>
      </c>
      <c r="Q9" s="224">
        <v>89</v>
      </c>
      <c r="R9" s="230">
        <v>82</v>
      </c>
      <c r="S9" s="230">
        <v>7</v>
      </c>
      <c r="T9" s="230">
        <v>7</v>
      </c>
      <c r="U9" s="230">
        <v>10</v>
      </c>
      <c r="V9" s="230">
        <v>18</v>
      </c>
      <c r="W9" s="230">
        <v>5</v>
      </c>
      <c r="X9" s="230">
        <v>13</v>
      </c>
      <c r="Y9" s="26"/>
      <c r="Z9" s="230">
        <v>333</v>
      </c>
      <c r="AA9" s="230">
        <v>328</v>
      </c>
      <c r="AB9" s="230">
        <v>91</v>
      </c>
      <c r="AC9" s="230">
        <v>74</v>
      </c>
      <c r="AD9" s="230">
        <v>10</v>
      </c>
      <c r="AE9" s="230">
        <v>5</v>
      </c>
      <c r="AF9" s="230">
        <v>14</v>
      </c>
      <c r="AG9" s="230">
        <v>10</v>
      </c>
      <c r="AH9" s="230">
        <v>3</v>
      </c>
      <c r="AI9" s="230">
        <v>9</v>
      </c>
      <c r="AJ9" s="276"/>
      <c r="AK9" s="228"/>
      <c r="AL9" s="197"/>
      <c r="AM9" s="197"/>
      <c r="AN9" s="197"/>
      <c r="AO9" s="197"/>
      <c r="AP9" s="197"/>
      <c r="AQ9" s="197"/>
      <c r="AR9" s="197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</row>
    <row r="10" spans="1:72" ht="15.75" customHeight="1" x14ac:dyDescent="0.2">
      <c r="A10" s="55" t="s">
        <v>49</v>
      </c>
      <c r="B10" s="205"/>
      <c r="C10" s="13">
        <v>270</v>
      </c>
      <c r="D10" s="13">
        <v>255</v>
      </c>
      <c r="E10" s="13">
        <v>42</v>
      </c>
      <c r="F10" s="13">
        <v>40</v>
      </c>
      <c r="G10" s="13">
        <v>5</v>
      </c>
      <c r="H10" s="13">
        <v>4</v>
      </c>
      <c r="I10" s="13">
        <v>6</v>
      </c>
      <c r="J10" s="13">
        <v>5</v>
      </c>
      <c r="K10" s="13">
        <v>3</v>
      </c>
      <c r="L10" s="13">
        <v>7</v>
      </c>
      <c r="M10" s="13">
        <v>12</v>
      </c>
      <c r="N10" s="205"/>
      <c r="O10" s="230">
        <v>269</v>
      </c>
      <c r="P10" s="230">
        <v>263</v>
      </c>
      <c r="Q10" s="230">
        <v>45</v>
      </c>
      <c r="R10" s="230">
        <v>37</v>
      </c>
      <c r="S10" s="230">
        <v>5</v>
      </c>
      <c r="T10" s="230">
        <v>5</v>
      </c>
      <c r="U10" s="230">
        <v>8</v>
      </c>
      <c r="V10" s="230">
        <v>5</v>
      </c>
      <c r="W10" s="230">
        <v>1</v>
      </c>
      <c r="X10" s="230">
        <v>2</v>
      </c>
      <c r="Y10" s="26"/>
      <c r="Z10" s="230">
        <v>278</v>
      </c>
      <c r="AA10" s="230">
        <v>265</v>
      </c>
      <c r="AB10" s="230">
        <v>41</v>
      </c>
      <c r="AC10" s="230">
        <v>40</v>
      </c>
      <c r="AD10" s="230">
        <v>7</v>
      </c>
      <c r="AE10" s="230">
        <v>6</v>
      </c>
      <c r="AF10" s="230">
        <v>2</v>
      </c>
      <c r="AG10" s="230">
        <v>4</v>
      </c>
      <c r="AH10" s="230">
        <v>2</v>
      </c>
      <c r="AI10" s="230">
        <v>3</v>
      </c>
      <c r="AJ10" s="276"/>
      <c r="AK10" s="228"/>
      <c r="AL10" s="197"/>
      <c r="AM10" s="197"/>
      <c r="AN10" s="197"/>
      <c r="AO10" s="197"/>
      <c r="AP10" s="197"/>
      <c r="AQ10" s="197"/>
      <c r="AR10" s="197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</row>
    <row r="11" spans="1:72" ht="15.75" customHeight="1" x14ac:dyDescent="0.2">
      <c r="A11" s="55" t="s">
        <v>50</v>
      </c>
      <c r="B11" s="205"/>
      <c r="C11" s="13">
        <v>56</v>
      </c>
      <c r="D11" s="13">
        <v>42</v>
      </c>
      <c r="E11" s="13">
        <v>18</v>
      </c>
      <c r="F11" s="13">
        <v>16</v>
      </c>
      <c r="G11" s="13">
        <v>6</v>
      </c>
      <c r="H11" s="13">
        <v>4</v>
      </c>
      <c r="I11" s="13">
        <v>1</v>
      </c>
      <c r="J11" s="13">
        <v>0</v>
      </c>
      <c r="K11" s="13">
        <v>2</v>
      </c>
      <c r="L11" s="13">
        <v>4</v>
      </c>
      <c r="M11" s="13">
        <v>2</v>
      </c>
      <c r="N11" s="205"/>
      <c r="O11" s="230">
        <v>55</v>
      </c>
      <c r="P11" s="230">
        <v>45</v>
      </c>
      <c r="Q11" s="230">
        <v>15</v>
      </c>
      <c r="R11" s="230">
        <v>19</v>
      </c>
      <c r="S11" s="230">
        <v>3</v>
      </c>
      <c r="T11" s="230">
        <v>4</v>
      </c>
      <c r="U11" s="230">
        <v>1</v>
      </c>
      <c r="V11" s="230">
        <v>0</v>
      </c>
      <c r="W11" s="230">
        <v>1</v>
      </c>
      <c r="X11" s="230">
        <v>4</v>
      </c>
      <c r="Y11" s="26"/>
      <c r="Z11" s="230">
        <v>51</v>
      </c>
      <c r="AA11" s="230">
        <v>54</v>
      </c>
      <c r="AB11" s="230">
        <v>22</v>
      </c>
      <c r="AC11" s="230">
        <v>13</v>
      </c>
      <c r="AD11" s="230">
        <v>4</v>
      </c>
      <c r="AE11" s="230">
        <v>3</v>
      </c>
      <c r="AF11" s="230">
        <v>1</v>
      </c>
      <c r="AG11" s="230">
        <v>1</v>
      </c>
      <c r="AH11" s="230">
        <v>0</v>
      </c>
      <c r="AI11" s="230">
        <v>3</v>
      </c>
      <c r="AJ11" s="276"/>
      <c r="AK11" s="228"/>
      <c r="AL11" s="197"/>
      <c r="AM11" s="197"/>
      <c r="AN11" s="197"/>
      <c r="AO11" s="197"/>
      <c r="AP11" s="197"/>
      <c r="AQ11" s="197"/>
      <c r="AR11" s="197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</row>
    <row r="12" spans="1:72" ht="15.75" customHeight="1" x14ac:dyDescent="0.2">
      <c r="A12" s="55" t="s">
        <v>52</v>
      </c>
      <c r="B12" s="205"/>
      <c r="C12" s="13">
        <f>28+26</f>
        <v>54</v>
      </c>
      <c r="D12" s="13">
        <f>27+22</f>
        <v>49</v>
      </c>
      <c r="E12" s="13">
        <f>16+13</f>
        <v>29</v>
      </c>
      <c r="F12" s="13">
        <v>24</v>
      </c>
      <c r="G12" s="13">
        <v>7</v>
      </c>
      <c r="H12" s="13">
        <v>3</v>
      </c>
      <c r="I12" s="13">
        <v>2</v>
      </c>
      <c r="J12" s="13">
        <v>1</v>
      </c>
      <c r="K12" s="13">
        <v>1</v>
      </c>
      <c r="L12" s="13">
        <v>3</v>
      </c>
      <c r="M12" s="13">
        <v>5</v>
      </c>
      <c r="N12" s="205"/>
      <c r="O12" s="230">
        <v>51</v>
      </c>
      <c r="P12" s="230">
        <v>50</v>
      </c>
      <c r="Q12" s="230">
        <v>29</v>
      </c>
      <c r="R12" s="230">
        <v>29</v>
      </c>
      <c r="S12" s="230">
        <v>0</v>
      </c>
      <c r="T12" s="230">
        <v>2</v>
      </c>
      <c r="U12" s="230">
        <v>2</v>
      </c>
      <c r="V12" s="230">
        <v>4</v>
      </c>
      <c r="W12" s="230">
        <v>2</v>
      </c>
      <c r="X12" s="230">
        <v>6</v>
      </c>
      <c r="Y12" s="26"/>
      <c r="Z12" s="230">
        <f>28+27</f>
        <v>55</v>
      </c>
      <c r="AA12" s="230">
        <f>28+28</f>
        <v>56</v>
      </c>
      <c r="AB12" s="230">
        <v>28</v>
      </c>
      <c r="AC12" s="230">
        <v>25</v>
      </c>
      <c r="AD12" s="230">
        <v>3</v>
      </c>
      <c r="AE12" s="230">
        <v>2</v>
      </c>
      <c r="AF12" s="230">
        <v>2</v>
      </c>
      <c r="AG12" s="230">
        <v>3</v>
      </c>
      <c r="AH12" s="230">
        <v>2</v>
      </c>
      <c r="AI12" s="230">
        <v>2</v>
      </c>
      <c r="AJ12" s="276"/>
      <c r="AK12" s="228"/>
      <c r="AL12" s="197"/>
      <c r="AM12" s="197"/>
      <c r="AN12" s="197"/>
      <c r="AO12" s="197"/>
      <c r="AP12" s="197"/>
      <c r="AQ12" s="197"/>
      <c r="AR12" s="197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 spans="1:72" ht="15.75" customHeight="1" x14ac:dyDescent="0.2">
      <c r="A13" s="55" t="s">
        <v>51</v>
      </c>
      <c r="B13" s="205"/>
      <c r="C13" s="13">
        <v>263</v>
      </c>
      <c r="D13" s="13">
        <v>227</v>
      </c>
      <c r="E13" s="13">
        <v>108</v>
      </c>
      <c r="F13" s="13">
        <v>95</v>
      </c>
      <c r="G13" s="13">
        <v>14</v>
      </c>
      <c r="H13" s="13">
        <v>8</v>
      </c>
      <c r="I13" s="13">
        <v>19</v>
      </c>
      <c r="J13" s="13">
        <v>9</v>
      </c>
      <c r="K13" s="13">
        <v>4</v>
      </c>
      <c r="L13" s="13">
        <v>18</v>
      </c>
      <c r="M13" s="13">
        <v>16</v>
      </c>
      <c r="N13" s="205"/>
      <c r="O13" s="230">
        <v>248</v>
      </c>
      <c r="P13" s="230">
        <v>233</v>
      </c>
      <c r="Q13" s="230">
        <v>103</v>
      </c>
      <c r="R13" s="230">
        <v>97</v>
      </c>
      <c r="S13" s="230">
        <v>8</v>
      </c>
      <c r="T13" s="230">
        <v>10</v>
      </c>
      <c r="U13" s="230">
        <v>15</v>
      </c>
      <c r="V13" s="230">
        <v>18</v>
      </c>
      <c r="W13" s="230">
        <v>6</v>
      </c>
      <c r="X13" s="230">
        <v>4</v>
      </c>
      <c r="Y13" s="26"/>
      <c r="Z13" s="230">
        <v>235</v>
      </c>
      <c r="AA13" s="230">
        <v>241</v>
      </c>
      <c r="AB13" s="230">
        <v>108</v>
      </c>
      <c r="AC13" s="230">
        <v>93</v>
      </c>
      <c r="AD13" s="230">
        <v>17</v>
      </c>
      <c r="AE13" s="230">
        <v>11</v>
      </c>
      <c r="AF13" s="230">
        <v>19</v>
      </c>
      <c r="AG13" s="230">
        <v>12</v>
      </c>
      <c r="AH13" s="230">
        <v>1</v>
      </c>
      <c r="AI13" s="230">
        <v>7</v>
      </c>
      <c r="AJ13" s="276"/>
      <c r="AK13" s="228"/>
      <c r="AL13" s="197"/>
      <c r="AM13" s="197"/>
      <c r="AN13" s="197"/>
      <c r="AO13" s="197"/>
      <c r="AP13" s="197"/>
      <c r="AQ13" s="197"/>
      <c r="AR13" s="197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</row>
    <row r="14" spans="1:72" ht="15.75" customHeight="1" x14ac:dyDescent="0.2">
      <c r="A14" s="55" t="s">
        <v>53</v>
      </c>
      <c r="B14" s="205"/>
      <c r="C14" s="13">
        <v>761</v>
      </c>
      <c r="D14" s="13">
        <v>680</v>
      </c>
      <c r="E14" s="13">
        <v>361</v>
      </c>
      <c r="F14" s="13">
        <v>327</v>
      </c>
      <c r="G14" s="13">
        <v>41</v>
      </c>
      <c r="H14" s="13">
        <v>30</v>
      </c>
      <c r="I14" s="13">
        <v>26</v>
      </c>
      <c r="J14" s="13">
        <v>14</v>
      </c>
      <c r="K14" s="13">
        <v>16</v>
      </c>
      <c r="L14" s="13">
        <v>57</v>
      </c>
      <c r="M14" s="13">
        <v>47</v>
      </c>
      <c r="N14" s="205"/>
      <c r="O14" s="230">
        <v>750</v>
      </c>
      <c r="P14" s="230">
        <v>689</v>
      </c>
      <c r="Q14" s="230">
        <v>348</v>
      </c>
      <c r="R14" s="230">
        <v>338</v>
      </c>
      <c r="S14" s="230">
        <v>30</v>
      </c>
      <c r="T14" s="230">
        <v>32</v>
      </c>
      <c r="U14" s="230">
        <v>29</v>
      </c>
      <c r="V14" s="230">
        <v>39</v>
      </c>
      <c r="W14" s="230">
        <v>20</v>
      </c>
      <c r="X14" s="230">
        <v>24</v>
      </c>
      <c r="Y14" s="26"/>
      <c r="Z14" s="230">
        <v>713</v>
      </c>
      <c r="AA14" s="230">
        <v>724</v>
      </c>
      <c r="AB14" s="230">
        <v>381</v>
      </c>
      <c r="AC14" s="230">
        <v>323</v>
      </c>
      <c r="AD14" s="230">
        <v>40</v>
      </c>
      <c r="AE14" s="230">
        <v>25</v>
      </c>
      <c r="AF14" s="230">
        <v>33</v>
      </c>
      <c r="AG14" s="230">
        <v>20</v>
      </c>
      <c r="AH14" s="230">
        <v>15</v>
      </c>
      <c r="AI14" s="230">
        <v>22</v>
      </c>
      <c r="AJ14" s="276"/>
      <c r="AK14" s="228"/>
      <c r="AL14" s="197"/>
      <c r="AM14" s="197"/>
      <c r="AN14" s="197"/>
      <c r="AO14" s="197"/>
      <c r="AP14" s="197"/>
      <c r="AQ14" s="197"/>
      <c r="AR14" s="197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 spans="1:72" ht="15.75" customHeight="1" x14ac:dyDescent="0.2">
      <c r="A15" s="55" t="s">
        <v>8</v>
      </c>
      <c r="B15" s="205"/>
      <c r="C15" s="13">
        <v>174</v>
      </c>
      <c r="D15" s="13">
        <v>159</v>
      </c>
      <c r="E15" s="13">
        <v>57</v>
      </c>
      <c r="F15" s="13">
        <v>59</v>
      </c>
      <c r="G15" s="13">
        <v>9</v>
      </c>
      <c r="H15" s="13">
        <v>7</v>
      </c>
      <c r="I15" s="13">
        <v>6</v>
      </c>
      <c r="J15" s="13">
        <v>2</v>
      </c>
      <c r="K15" s="14">
        <v>4</v>
      </c>
      <c r="L15" s="13">
        <v>19</v>
      </c>
      <c r="M15" s="13">
        <v>11</v>
      </c>
      <c r="N15" s="205"/>
      <c r="O15" s="224">
        <v>173</v>
      </c>
      <c r="P15" s="224">
        <v>160</v>
      </c>
      <c r="Q15" s="224">
        <v>63</v>
      </c>
      <c r="R15" s="230">
        <v>60</v>
      </c>
      <c r="S15" s="230">
        <v>6</v>
      </c>
      <c r="T15" s="230">
        <v>2</v>
      </c>
      <c r="U15" s="230">
        <v>7</v>
      </c>
      <c r="V15" s="230">
        <v>8</v>
      </c>
      <c r="W15" s="230">
        <v>8</v>
      </c>
      <c r="X15" s="230">
        <v>7</v>
      </c>
      <c r="Y15" s="26"/>
      <c r="Z15" s="230">
        <v>167</v>
      </c>
      <c r="AA15" s="230">
        <v>166</v>
      </c>
      <c r="AB15" s="230">
        <v>65</v>
      </c>
      <c r="AC15" s="230">
        <v>56</v>
      </c>
      <c r="AD15" s="230">
        <v>9</v>
      </c>
      <c r="AE15" s="230">
        <v>5</v>
      </c>
      <c r="AF15" s="230">
        <v>10</v>
      </c>
      <c r="AG15" s="230">
        <v>8</v>
      </c>
      <c r="AH15" s="230">
        <v>3</v>
      </c>
      <c r="AI15" s="230">
        <v>6</v>
      </c>
      <c r="AJ15" s="276"/>
      <c r="AK15" s="228"/>
      <c r="AL15" s="197"/>
      <c r="AM15" s="197"/>
      <c r="AN15" s="197"/>
      <c r="AO15" s="197"/>
      <c r="AP15" s="197"/>
      <c r="AQ15" s="197"/>
      <c r="AR15" s="197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</row>
    <row r="16" spans="1:72" ht="15.75" customHeight="1" x14ac:dyDescent="0.2">
      <c r="A16" s="55" t="s">
        <v>54</v>
      </c>
      <c r="B16" s="205"/>
      <c r="C16" s="13">
        <v>104</v>
      </c>
      <c r="D16" s="13">
        <v>90</v>
      </c>
      <c r="E16" s="13">
        <v>51</v>
      </c>
      <c r="F16" s="13">
        <v>42</v>
      </c>
      <c r="G16" s="13">
        <v>6</v>
      </c>
      <c r="H16" s="13">
        <v>5</v>
      </c>
      <c r="I16" s="13">
        <v>3</v>
      </c>
      <c r="J16" s="13">
        <v>4</v>
      </c>
      <c r="K16" s="13">
        <v>2</v>
      </c>
      <c r="L16" s="13">
        <v>7</v>
      </c>
      <c r="M16" s="13">
        <v>7</v>
      </c>
      <c r="N16" s="205"/>
      <c r="O16" s="224">
        <v>97</v>
      </c>
      <c r="P16" s="224">
        <v>93</v>
      </c>
      <c r="Q16" s="224">
        <v>44</v>
      </c>
      <c r="R16" s="230">
        <v>49</v>
      </c>
      <c r="S16" s="230">
        <v>3</v>
      </c>
      <c r="T16" s="230">
        <v>6</v>
      </c>
      <c r="U16" s="230">
        <v>4</v>
      </c>
      <c r="V16" s="230">
        <v>5</v>
      </c>
      <c r="W16" s="230">
        <v>2</v>
      </c>
      <c r="X16" s="230">
        <v>4</v>
      </c>
      <c r="Y16" s="26"/>
      <c r="Z16" s="230">
        <v>100</v>
      </c>
      <c r="AA16" s="230">
        <v>90</v>
      </c>
      <c r="AB16" s="230">
        <v>45</v>
      </c>
      <c r="AC16" s="230">
        <v>48</v>
      </c>
      <c r="AD16" s="230">
        <v>5</v>
      </c>
      <c r="AE16" s="230">
        <v>3</v>
      </c>
      <c r="AF16" s="230">
        <v>6</v>
      </c>
      <c r="AG16" s="230">
        <v>4</v>
      </c>
      <c r="AH16" s="230">
        <v>0</v>
      </c>
      <c r="AI16" s="230">
        <v>1</v>
      </c>
      <c r="AJ16" s="276"/>
      <c r="AK16" s="228"/>
      <c r="AL16" s="197"/>
      <c r="AM16" s="197"/>
      <c r="AN16" s="197"/>
      <c r="AO16" s="197"/>
      <c r="AP16" s="197"/>
      <c r="AQ16" s="197"/>
      <c r="AR16" s="197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</row>
    <row r="17" spans="1:72" ht="15.75" customHeight="1" x14ac:dyDescent="0.2">
      <c r="A17" s="55" t="s">
        <v>61</v>
      </c>
      <c r="B17" s="205"/>
      <c r="C17" s="13">
        <v>303</v>
      </c>
      <c r="D17" s="13">
        <v>270</v>
      </c>
      <c r="E17" s="13">
        <v>121</v>
      </c>
      <c r="F17" s="13">
        <v>111</v>
      </c>
      <c r="G17" s="13">
        <v>12</v>
      </c>
      <c r="H17" s="13">
        <v>3</v>
      </c>
      <c r="I17" s="13">
        <v>9</v>
      </c>
      <c r="J17" s="13">
        <v>5</v>
      </c>
      <c r="K17" s="13">
        <v>3</v>
      </c>
      <c r="L17" s="13">
        <v>23</v>
      </c>
      <c r="M17" s="13">
        <v>14</v>
      </c>
      <c r="N17" s="205"/>
      <c r="O17" s="230">
        <v>278</v>
      </c>
      <c r="P17" s="230">
        <v>274</v>
      </c>
      <c r="Q17" s="230">
        <v>110</v>
      </c>
      <c r="R17" s="230">
        <v>109</v>
      </c>
      <c r="S17" s="230">
        <v>7</v>
      </c>
      <c r="T17" s="230">
        <v>9</v>
      </c>
      <c r="U17" s="230">
        <v>7</v>
      </c>
      <c r="V17" s="230">
        <v>10</v>
      </c>
      <c r="W17" s="230">
        <v>7</v>
      </c>
      <c r="X17" s="230">
        <v>11</v>
      </c>
      <c r="Y17" s="26"/>
      <c r="Z17" s="230">
        <v>272</v>
      </c>
      <c r="AA17" s="230">
        <v>276</v>
      </c>
      <c r="AB17" s="230">
        <v>120</v>
      </c>
      <c r="AC17" s="230">
        <v>101</v>
      </c>
      <c r="AD17" s="230">
        <v>13</v>
      </c>
      <c r="AE17" s="230">
        <v>8</v>
      </c>
      <c r="AF17" s="230">
        <v>12</v>
      </c>
      <c r="AG17" s="230">
        <v>6</v>
      </c>
      <c r="AH17" s="230">
        <v>7</v>
      </c>
      <c r="AI17" s="230">
        <v>6</v>
      </c>
      <c r="AJ17" s="276"/>
      <c r="AK17" s="228"/>
      <c r="AL17" s="197"/>
      <c r="AM17" s="197"/>
      <c r="AN17" s="197"/>
      <c r="AO17" s="197"/>
      <c r="AP17" s="197"/>
      <c r="AQ17" s="197"/>
      <c r="AR17" s="197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 spans="1:72" ht="15.75" customHeight="1" x14ac:dyDescent="0.2">
      <c r="A18" s="55" t="s">
        <v>62</v>
      </c>
      <c r="B18" s="205"/>
      <c r="C18" s="13">
        <v>459</v>
      </c>
      <c r="D18" s="13">
        <v>419</v>
      </c>
      <c r="E18" s="13">
        <v>90</v>
      </c>
      <c r="F18" s="13">
        <v>68</v>
      </c>
      <c r="G18" s="13">
        <v>17</v>
      </c>
      <c r="H18" s="13">
        <v>13</v>
      </c>
      <c r="I18" s="13">
        <v>8</v>
      </c>
      <c r="J18" s="13">
        <v>4</v>
      </c>
      <c r="K18" s="13">
        <v>7</v>
      </c>
      <c r="L18" s="13">
        <v>21</v>
      </c>
      <c r="M18" s="13">
        <v>12</v>
      </c>
      <c r="N18" s="205"/>
      <c r="O18" s="224">
        <v>437</v>
      </c>
      <c r="P18" s="224">
        <v>429</v>
      </c>
      <c r="Q18" s="224">
        <v>76</v>
      </c>
      <c r="R18" s="230">
        <v>68</v>
      </c>
      <c r="S18" s="230">
        <v>19</v>
      </c>
      <c r="T18" s="230">
        <v>18</v>
      </c>
      <c r="U18" s="230">
        <v>10</v>
      </c>
      <c r="V18" s="230">
        <v>9</v>
      </c>
      <c r="W18" s="230">
        <v>7</v>
      </c>
      <c r="X18" s="230">
        <v>7</v>
      </c>
      <c r="Y18" s="26"/>
      <c r="Z18" s="230">
        <v>443</v>
      </c>
      <c r="AA18" s="230">
        <v>441</v>
      </c>
      <c r="AB18" s="230">
        <v>81</v>
      </c>
      <c r="AC18" s="230">
        <v>66</v>
      </c>
      <c r="AD18" s="230">
        <v>12</v>
      </c>
      <c r="AE18" s="230">
        <v>8</v>
      </c>
      <c r="AF18" s="230">
        <v>16</v>
      </c>
      <c r="AG18" s="230">
        <v>10</v>
      </c>
      <c r="AH18" s="230">
        <v>5</v>
      </c>
      <c r="AI18" s="230">
        <v>4</v>
      </c>
      <c r="AJ18" s="276"/>
      <c r="AK18" s="228"/>
      <c r="AL18" s="197"/>
      <c r="AM18" s="197"/>
      <c r="AN18" s="197"/>
      <c r="AO18" s="197"/>
      <c r="AP18" s="197"/>
      <c r="AQ18" s="197"/>
      <c r="AR18" s="197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1:72" ht="15.75" customHeight="1" x14ac:dyDescent="0.2">
      <c r="A19" s="55" t="s">
        <v>56</v>
      </c>
      <c r="B19" s="205"/>
      <c r="C19" s="13">
        <v>329</v>
      </c>
      <c r="D19" s="13">
        <v>302</v>
      </c>
      <c r="E19" s="13">
        <v>44</v>
      </c>
      <c r="F19" s="13">
        <v>43</v>
      </c>
      <c r="G19" s="13">
        <v>9</v>
      </c>
      <c r="H19" s="13">
        <v>9</v>
      </c>
      <c r="I19" s="13">
        <v>6</v>
      </c>
      <c r="J19" s="13">
        <v>5</v>
      </c>
      <c r="K19" s="13">
        <v>1</v>
      </c>
      <c r="L19" s="13">
        <v>12</v>
      </c>
      <c r="M19" s="13">
        <v>11</v>
      </c>
      <c r="N19" s="205"/>
      <c r="O19" s="230">
        <v>323</v>
      </c>
      <c r="P19" s="230">
        <v>310</v>
      </c>
      <c r="Q19" s="230">
        <v>37</v>
      </c>
      <c r="R19" s="230">
        <v>41</v>
      </c>
      <c r="S19" s="230">
        <v>6</v>
      </c>
      <c r="T19" s="230">
        <v>5</v>
      </c>
      <c r="U19" s="230">
        <v>13</v>
      </c>
      <c r="V19" s="230">
        <v>14</v>
      </c>
      <c r="W19" s="230">
        <v>4</v>
      </c>
      <c r="X19" s="230">
        <v>3</v>
      </c>
      <c r="Y19" s="26"/>
      <c r="Z19" s="230">
        <v>323</v>
      </c>
      <c r="AA19" s="230">
        <v>306</v>
      </c>
      <c r="AB19" s="230">
        <v>48</v>
      </c>
      <c r="AC19" s="230">
        <v>32</v>
      </c>
      <c r="AD19" s="230">
        <v>13</v>
      </c>
      <c r="AE19" s="230">
        <v>3</v>
      </c>
      <c r="AF19" s="230">
        <v>11</v>
      </c>
      <c r="AG19" s="230">
        <v>12</v>
      </c>
      <c r="AH19" s="230">
        <v>1</v>
      </c>
      <c r="AI19" s="230">
        <v>3</v>
      </c>
      <c r="AJ19" s="276"/>
      <c r="AK19" s="228"/>
      <c r="AL19" s="197"/>
      <c r="AM19" s="197"/>
      <c r="AN19" s="197"/>
      <c r="AO19" s="197"/>
      <c r="AP19" s="197"/>
      <c r="AQ19" s="197"/>
      <c r="AR19" s="197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1:72" ht="15.75" customHeight="1" x14ac:dyDescent="0.2">
      <c r="A20" s="55" t="s">
        <v>57</v>
      </c>
      <c r="B20" s="205"/>
      <c r="C20" s="13">
        <v>107</v>
      </c>
      <c r="D20" s="13">
        <v>92</v>
      </c>
      <c r="E20" s="13">
        <v>46</v>
      </c>
      <c r="F20" s="13">
        <v>39</v>
      </c>
      <c r="G20" s="13">
        <v>2</v>
      </c>
      <c r="H20" s="13">
        <v>5</v>
      </c>
      <c r="I20" s="13">
        <v>1</v>
      </c>
      <c r="J20" s="13">
        <v>2</v>
      </c>
      <c r="K20" s="13">
        <v>1</v>
      </c>
      <c r="L20" s="13">
        <v>5</v>
      </c>
      <c r="M20" s="13">
        <v>7</v>
      </c>
      <c r="N20" s="205"/>
      <c r="O20" s="224">
        <v>99</v>
      </c>
      <c r="P20" s="224">
        <v>106</v>
      </c>
      <c r="Q20" s="224">
        <v>40</v>
      </c>
      <c r="R20" s="230">
        <v>48</v>
      </c>
      <c r="S20" s="230">
        <v>3</v>
      </c>
      <c r="T20" s="230">
        <v>2</v>
      </c>
      <c r="U20" s="230">
        <v>1</v>
      </c>
      <c r="V20" s="230">
        <v>2</v>
      </c>
      <c r="W20" s="230">
        <v>3</v>
      </c>
      <c r="X20" s="230">
        <v>2</v>
      </c>
      <c r="Y20" s="26"/>
      <c r="Z20" s="224">
        <v>99</v>
      </c>
      <c r="AA20" s="224">
        <v>107</v>
      </c>
      <c r="AB20" s="224">
        <v>47</v>
      </c>
      <c r="AC20" s="230">
        <v>40</v>
      </c>
      <c r="AD20" s="230">
        <v>5</v>
      </c>
      <c r="AE20" s="230">
        <v>3</v>
      </c>
      <c r="AF20" s="230">
        <v>2</v>
      </c>
      <c r="AG20" s="230">
        <v>2</v>
      </c>
      <c r="AH20" s="230">
        <v>0</v>
      </c>
      <c r="AI20" s="230">
        <v>1</v>
      </c>
      <c r="AJ20" s="276"/>
      <c r="AK20" s="228"/>
      <c r="AL20" s="197"/>
      <c r="AM20" s="197"/>
      <c r="AN20" s="197"/>
      <c r="AO20" s="197"/>
      <c r="AP20" s="197"/>
      <c r="AQ20" s="197"/>
      <c r="AR20" s="197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</row>
    <row r="21" spans="1:72" ht="15.75" customHeight="1" x14ac:dyDescent="0.2">
      <c r="A21" s="55"/>
      <c r="B21" s="205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205"/>
      <c r="O21" s="224"/>
      <c r="P21" s="224"/>
      <c r="Q21" s="224"/>
      <c r="R21" s="224"/>
      <c r="S21" s="224"/>
      <c r="T21" s="224"/>
      <c r="U21" s="224"/>
      <c r="V21" s="224"/>
      <c r="W21" s="224"/>
      <c r="X21" s="224"/>
      <c r="Y21" s="26"/>
      <c r="Z21" s="224"/>
      <c r="AA21" s="224"/>
      <c r="AB21" s="224"/>
      <c r="AC21" s="224"/>
      <c r="AD21" s="224"/>
      <c r="AE21" s="224"/>
      <c r="AF21" s="224"/>
      <c r="AG21" s="224"/>
      <c r="AH21" s="224"/>
      <c r="AI21" s="224"/>
      <c r="AJ21" s="276"/>
      <c r="AK21" s="228"/>
      <c r="AL21" s="197"/>
      <c r="AM21" s="197"/>
      <c r="AN21" s="197"/>
      <c r="AO21" s="197"/>
      <c r="AP21" s="197"/>
      <c r="AQ21" s="197"/>
      <c r="AR21" s="197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</row>
    <row r="22" spans="1:72" ht="15.75" customHeight="1" x14ac:dyDescent="0.2">
      <c r="A22" s="55" t="s">
        <v>58</v>
      </c>
      <c r="B22" s="205"/>
      <c r="C22" s="13">
        <v>181</v>
      </c>
      <c r="D22" s="13">
        <v>171</v>
      </c>
      <c r="E22" s="13">
        <v>120</v>
      </c>
      <c r="F22" s="13">
        <v>110</v>
      </c>
      <c r="G22" s="13">
        <v>7</v>
      </c>
      <c r="H22" s="13">
        <v>5</v>
      </c>
      <c r="I22" s="13">
        <v>8</v>
      </c>
      <c r="J22" s="13">
        <v>2</v>
      </c>
      <c r="K22" s="13">
        <v>4</v>
      </c>
      <c r="L22" s="13">
        <v>19</v>
      </c>
      <c r="M22" s="13">
        <v>14</v>
      </c>
      <c r="N22" s="205"/>
      <c r="O22" s="230">
        <v>182</v>
      </c>
      <c r="P22" s="230">
        <v>175</v>
      </c>
      <c r="Q22" s="230">
        <v>118</v>
      </c>
      <c r="R22" s="230">
        <v>108</v>
      </c>
      <c r="S22" s="230">
        <v>5</v>
      </c>
      <c r="T22" s="230">
        <v>6</v>
      </c>
      <c r="U22" s="230">
        <v>7</v>
      </c>
      <c r="V22" s="230">
        <v>5</v>
      </c>
      <c r="W22" s="230">
        <v>5</v>
      </c>
      <c r="X22" s="230">
        <v>6</v>
      </c>
      <c r="Y22" s="26"/>
      <c r="Z22" s="230">
        <v>187</v>
      </c>
      <c r="AA22" s="230">
        <v>174</v>
      </c>
      <c r="AB22" s="230">
        <v>122</v>
      </c>
      <c r="AC22" s="230">
        <v>100</v>
      </c>
      <c r="AD22" s="230">
        <v>10</v>
      </c>
      <c r="AE22" s="230">
        <v>4</v>
      </c>
      <c r="AF22" s="230">
        <v>8</v>
      </c>
      <c r="AG22" s="230">
        <v>7</v>
      </c>
      <c r="AH22" s="230">
        <v>3</v>
      </c>
      <c r="AI22" s="230">
        <v>5</v>
      </c>
      <c r="AJ22" s="276"/>
      <c r="AK22" s="228"/>
      <c r="AL22" s="197"/>
      <c r="AM22" s="197"/>
      <c r="AN22" s="197"/>
      <c r="AO22" s="197"/>
      <c r="AP22" s="197"/>
      <c r="AQ22" s="197"/>
      <c r="AR22" s="197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1:72" ht="15.75" customHeight="1" x14ac:dyDescent="0.2">
      <c r="A23" s="55" t="s">
        <v>10</v>
      </c>
      <c r="B23" s="205"/>
      <c r="C23" s="13">
        <v>171</v>
      </c>
      <c r="D23" s="13">
        <v>157</v>
      </c>
      <c r="E23" s="13">
        <v>44</v>
      </c>
      <c r="F23" s="13">
        <v>36</v>
      </c>
      <c r="G23" s="13">
        <v>7</v>
      </c>
      <c r="H23" s="13">
        <v>4</v>
      </c>
      <c r="I23" s="13">
        <v>6</v>
      </c>
      <c r="J23" s="13">
        <v>4</v>
      </c>
      <c r="K23" s="13">
        <v>1</v>
      </c>
      <c r="L23" s="13">
        <v>4</v>
      </c>
      <c r="M23" s="13">
        <v>7</v>
      </c>
      <c r="N23" s="205"/>
      <c r="O23" s="224">
        <v>169</v>
      </c>
      <c r="P23" s="224">
        <v>160</v>
      </c>
      <c r="Q23" s="224">
        <v>40</v>
      </c>
      <c r="R23" s="230">
        <v>43</v>
      </c>
      <c r="S23" s="230">
        <v>2</v>
      </c>
      <c r="T23" s="230">
        <v>2</v>
      </c>
      <c r="U23" s="230">
        <v>5</v>
      </c>
      <c r="V23" s="230">
        <v>6</v>
      </c>
      <c r="W23" s="230">
        <v>3</v>
      </c>
      <c r="X23" s="230">
        <v>0</v>
      </c>
      <c r="Y23" s="26"/>
      <c r="Z23" s="230">
        <v>162</v>
      </c>
      <c r="AA23" s="230">
        <v>167</v>
      </c>
      <c r="AB23" s="230">
        <v>43</v>
      </c>
      <c r="AC23" s="230">
        <v>40</v>
      </c>
      <c r="AD23" s="230">
        <v>5</v>
      </c>
      <c r="AE23" s="230">
        <v>4</v>
      </c>
      <c r="AF23" s="230">
        <v>7</v>
      </c>
      <c r="AG23" s="230">
        <v>5</v>
      </c>
      <c r="AH23" s="230">
        <v>0</v>
      </c>
      <c r="AI23" s="230">
        <v>1</v>
      </c>
      <c r="AJ23" s="276"/>
      <c r="AK23" s="228"/>
      <c r="AL23" s="197"/>
      <c r="AM23" s="197"/>
      <c r="AN23" s="197"/>
      <c r="AO23" s="197"/>
      <c r="AP23" s="197"/>
      <c r="AQ23" s="197"/>
      <c r="AR23" s="197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</row>
    <row r="24" spans="1:72" ht="15.75" customHeight="1" x14ac:dyDescent="0.2">
      <c r="A24" s="55"/>
      <c r="B24" s="205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205"/>
      <c r="O24" s="3"/>
      <c r="P24" s="3"/>
      <c r="Q24" s="3"/>
      <c r="R24" s="3"/>
      <c r="S24" s="3"/>
      <c r="T24" s="3"/>
      <c r="U24" s="3"/>
      <c r="V24" s="3"/>
      <c r="W24" s="3"/>
      <c r="X24" s="3"/>
      <c r="Y24" s="29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205"/>
      <c r="AK24" s="228"/>
      <c r="AL24" s="197"/>
      <c r="AM24" s="197"/>
      <c r="AN24" s="197"/>
      <c r="AO24" s="197"/>
      <c r="AP24" s="197"/>
      <c r="AQ24" s="197"/>
      <c r="AR24" s="197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</row>
    <row r="25" spans="1:72" ht="15.75" customHeight="1" x14ac:dyDescent="0.2">
      <c r="A25" s="71" t="s">
        <v>16</v>
      </c>
      <c r="B25" s="216"/>
      <c r="C25" s="224">
        <f t="shared" ref="C25:M25" si="0">SUM(C6:C23)</f>
        <v>3969</v>
      </c>
      <c r="D25" s="224">
        <f t="shared" si="0"/>
        <v>3599</v>
      </c>
      <c r="E25" s="224">
        <f t="shared" si="0"/>
        <v>1371</v>
      </c>
      <c r="F25" s="224">
        <f t="shared" si="0"/>
        <v>1211</v>
      </c>
      <c r="G25" s="224">
        <f t="shared" si="0"/>
        <v>165</v>
      </c>
      <c r="H25" s="224">
        <f t="shared" si="0"/>
        <v>117</v>
      </c>
      <c r="I25" s="224">
        <f t="shared" si="0"/>
        <v>129</v>
      </c>
      <c r="J25" s="224">
        <f t="shared" si="0"/>
        <v>65</v>
      </c>
      <c r="K25" s="224">
        <f t="shared" si="0"/>
        <v>61</v>
      </c>
      <c r="L25" s="224">
        <f t="shared" si="0"/>
        <v>239</v>
      </c>
      <c r="M25" s="224">
        <f t="shared" si="0"/>
        <v>218</v>
      </c>
      <c r="N25" s="216"/>
      <c r="O25" s="224">
        <f t="shared" ref="O25:X25" si="1">SUM(O6:O23)</f>
        <v>3856</v>
      </c>
      <c r="P25" s="224">
        <f t="shared" si="1"/>
        <v>3681</v>
      </c>
      <c r="Q25" s="224">
        <f t="shared" si="1"/>
        <v>1300</v>
      </c>
      <c r="R25" s="224">
        <f t="shared" si="1"/>
        <v>1252</v>
      </c>
      <c r="S25" s="224">
        <f t="shared" si="1"/>
        <v>114</v>
      </c>
      <c r="T25" s="224">
        <f t="shared" si="1"/>
        <v>123</v>
      </c>
      <c r="U25" s="224">
        <f t="shared" si="1"/>
        <v>136</v>
      </c>
      <c r="V25" s="224">
        <f t="shared" si="1"/>
        <v>172</v>
      </c>
      <c r="W25" s="224">
        <f t="shared" si="1"/>
        <v>81</v>
      </c>
      <c r="X25" s="224">
        <f t="shared" si="1"/>
        <v>101</v>
      </c>
      <c r="Y25" s="26"/>
      <c r="Z25" s="224">
        <f t="shared" ref="Z25:AI25" si="2">SUM(Z6:Z23)</f>
        <v>3807</v>
      </c>
      <c r="AA25" s="224">
        <f t="shared" si="2"/>
        <v>3768</v>
      </c>
      <c r="AB25" s="224">
        <f t="shared" si="2"/>
        <v>1382</v>
      </c>
      <c r="AC25" s="224">
        <f t="shared" si="2"/>
        <v>1182</v>
      </c>
      <c r="AD25" s="224">
        <f t="shared" si="2"/>
        <v>171</v>
      </c>
      <c r="AE25" s="224">
        <f t="shared" si="2"/>
        <v>105</v>
      </c>
      <c r="AF25" s="224">
        <f t="shared" si="2"/>
        <v>159</v>
      </c>
      <c r="AG25" s="224">
        <f t="shared" si="2"/>
        <v>120</v>
      </c>
      <c r="AH25" s="224">
        <f t="shared" si="2"/>
        <v>48</v>
      </c>
      <c r="AI25" s="224">
        <f t="shared" si="2"/>
        <v>82</v>
      </c>
      <c r="AJ25" s="276"/>
      <c r="AK25" s="228"/>
      <c r="AL25" s="197"/>
      <c r="AM25" s="197"/>
      <c r="AN25" s="197"/>
      <c r="AO25" s="197"/>
      <c r="AP25" s="197"/>
      <c r="AQ25" s="197"/>
      <c r="AR25" s="197"/>
      <c r="AS25" s="197"/>
      <c r="AT25" s="197"/>
      <c r="AU25" s="197"/>
      <c r="AV25" s="11"/>
      <c r="AW25" s="6"/>
      <c r="AX25" s="11"/>
      <c r="AY25" s="6"/>
      <c r="AZ25" s="11"/>
      <c r="BA25" s="6"/>
      <c r="BB25" s="6"/>
      <c r="BC25" s="6"/>
      <c r="BD25" s="6"/>
      <c r="BE25" s="6"/>
      <c r="BF25" s="11"/>
      <c r="BG25" s="6"/>
      <c r="BH25" s="6"/>
      <c r="BI25" s="6"/>
      <c r="BJ25" s="11"/>
      <c r="BK25" s="6"/>
      <c r="BL25" s="6"/>
      <c r="BM25" s="6"/>
      <c r="BN25" s="11"/>
      <c r="BO25" s="11"/>
      <c r="BP25" s="11"/>
      <c r="BQ25" s="11"/>
      <c r="BR25" s="11"/>
      <c r="BS25" s="11"/>
      <c r="BT25" s="11"/>
    </row>
    <row r="26" spans="1:72" ht="15.75" customHeight="1" thickBot="1" x14ac:dyDescent="0.25">
      <c r="A26" s="56"/>
      <c r="B26" s="217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217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30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17"/>
      <c r="AK26" s="80"/>
      <c r="AL26" s="197"/>
      <c r="AM26" s="197"/>
      <c r="AN26" s="197"/>
      <c r="AO26" s="197"/>
      <c r="AP26" s="197"/>
      <c r="AQ26" s="197"/>
      <c r="AR26" s="197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</row>
    <row r="27" spans="1:72" ht="18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98"/>
      <c r="AK27" s="198"/>
      <c r="AL27" s="197"/>
      <c r="AM27" s="197"/>
      <c r="AN27" s="197"/>
      <c r="AO27" s="197"/>
      <c r="AP27" s="197"/>
      <c r="AQ27" s="197"/>
      <c r="AR27" s="197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</row>
    <row r="28" spans="1:72" ht="18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98"/>
      <c r="AK28" s="198"/>
      <c r="AL28" s="197"/>
      <c r="AM28" s="197"/>
      <c r="AN28" s="197"/>
      <c r="AO28" s="197"/>
      <c r="AP28" s="197"/>
      <c r="AQ28" s="197"/>
      <c r="AR28" s="197"/>
      <c r="AS28" s="11"/>
      <c r="AT28" s="11"/>
      <c r="AU28" s="11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11"/>
      <c r="BL28" s="11"/>
      <c r="BM28" s="11"/>
      <c r="BN28" s="11"/>
      <c r="BO28" s="11"/>
      <c r="BP28" s="11"/>
      <c r="BQ28" s="11"/>
      <c r="BR28" s="11"/>
      <c r="BS28" s="11"/>
      <c r="BT28" s="11"/>
    </row>
    <row r="29" spans="1:72" ht="18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5"/>
      <c r="AM29" s="5"/>
      <c r="AN29" s="5"/>
      <c r="AO29" s="5"/>
      <c r="AP29" s="5"/>
      <c r="AQ29" s="5"/>
      <c r="AR29" s="5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spans="1:72" ht="18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5"/>
      <c r="AM30" s="5"/>
      <c r="AN30" s="5"/>
      <c r="AO30" s="5"/>
      <c r="AP30" s="5"/>
      <c r="AQ30" s="5"/>
      <c r="AR30" s="5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spans="1:72" ht="18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5"/>
      <c r="AM31" s="5"/>
      <c r="AN31" s="5"/>
      <c r="AO31" s="5"/>
      <c r="AP31" s="5"/>
      <c r="AQ31" s="5"/>
      <c r="AR31" s="5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spans="1:72" ht="18" customHeight="1" x14ac:dyDescent="0.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5"/>
      <c r="AM32" s="5"/>
      <c r="AN32" s="5"/>
      <c r="AO32" s="5"/>
      <c r="AP32" s="5"/>
      <c r="AQ32" s="5"/>
      <c r="AR32" s="5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spans="1:72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5"/>
      <c r="AM33" s="5"/>
      <c r="AN33" s="5"/>
      <c r="AO33" s="5"/>
      <c r="AP33" s="5"/>
      <c r="AQ33" s="5"/>
      <c r="AR33" s="5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spans="1:72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5"/>
      <c r="AM34" s="5"/>
      <c r="AN34" s="5"/>
      <c r="AO34" s="5"/>
      <c r="AP34" s="5"/>
      <c r="AQ34" s="5"/>
      <c r="AR34" s="5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spans="1:72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5"/>
      <c r="AM35" s="5"/>
      <c r="AN35" s="5"/>
      <c r="AO35" s="5"/>
      <c r="AP35" s="5"/>
      <c r="AQ35" s="5"/>
      <c r="AR35" s="5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spans="1:72" x14ac:dyDescent="0.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5"/>
      <c r="AM36" s="5"/>
      <c r="AN36" s="5"/>
      <c r="AO36" s="5"/>
      <c r="AP36" s="5"/>
      <c r="AQ36" s="5"/>
      <c r="AR36" s="5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spans="1:72" x14ac:dyDescent="0.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5"/>
      <c r="AM37" s="5"/>
      <c r="AN37" s="5"/>
      <c r="AO37" s="5"/>
      <c r="AP37" s="5"/>
      <c r="AQ37" s="5"/>
      <c r="AR37" s="5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spans="1:72" x14ac:dyDescent="0.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5"/>
      <c r="AM38" s="5"/>
      <c r="AN38" s="5"/>
      <c r="AO38" s="5"/>
      <c r="AP38" s="5"/>
      <c r="AQ38" s="5"/>
      <c r="AR38" s="5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spans="1:72" x14ac:dyDescent="0.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5"/>
      <c r="AM39" s="5"/>
      <c r="AN39" s="5"/>
      <c r="AO39" s="5"/>
      <c r="AP39" s="5"/>
      <c r="AQ39" s="5"/>
      <c r="AR39" s="5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spans="1:72" x14ac:dyDescent="0.2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5"/>
      <c r="AM40" s="5"/>
      <c r="AN40" s="5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3"/>
    </row>
    <row r="41" spans="1:72" x14ac:dyDescent="0.2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5"/>
      <c r="AM41" s="5"/>
      <c r="AN41" s="5"/>
      <c r="AO41" s="5"/>
      <c r="AP41" s="5"/>
      <c r="AQ41" s="5"/>
      <c r="AR41" s="5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spans="1:72" x14ac:dyDescent="0.2">
      <c r="A42" s="8"/>
      <c r="B42" s="213"/>
      <c r="C42" s="200"/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8"/>
      <c r="P42" s="8"/>
      <c r="Q42" s="8"/>
      <c r="R42" s="8"/>
      <c r="S42" s="200"/>
      <c r="T42" s="200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spans="1:72" x14ac:dyDescent="0.2">
      <c r="A43" s="5"/>
      <c r="B43" s="212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5"/>
      <c r="P43" s="5"/>
      <c r="Q43" s="5"/>
      <c r="R43" s="5"/>
      <c r="S43" s="199"/>
      <c r="T43" s="199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spans="1:72" x14ac:dyDescent="0.2">
      <c r="A44" s="8"/>
      <c r="B44" s="213"/>
      <c r="C44" s="200"/>
      <c r="D44" s="200"/>
      <c r="E44" s="200"/>
      <c r="F44" s="200"/>
      <c r="G44" s="200"/>
      <c r="H44" s="200"/>
      <c r="I44" s="200"/>
      <c r="J44" s="200"/>
      <c r="K44" s="200"/>
      <c r="L44" s="200"/>
      <c r="M44" s="200"/>
      <c r="N44" s="200"/>
      <c r="O44" s="8"/>
      <c r="P44" s="8"/>
      <c r="Q44" s="8"/>
      <c r="R44" s="8"/>
      <c r="S44" s="200"/>
      <c r="T44" s="200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1"/>
      <c r="BT44" s="3"/>
    </row>
    <row r="45" spans="1:7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P45" s="3"/>
      <c r="BQ45" s="3"/>
      <c r="BR45" s="3"/>
      <c r="BS45" s="3"/>
      <c r="BT45" s="3"/>
    </row>
    <row r="46" spans="1:7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</row>
    <row r="47" spans="1:7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</row>
    <row r="48" spans="1:72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</row>
    <row r="49" spans="1:66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</row>
    <row r="50" spans="1:66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</row>
    <row r="51" spans="1:66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</row>
    <row r="52" spans="1:66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</row>
    <row r="53" spans="1:66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</row>
    <row r="54" spans="1:66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</row>
    <row r="55" spans="1:66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</row>
    <row r="56" spans="1:66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</row>
    <row r="57" spans="1:66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</row>
    <row r="58" spans="1:66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</row>
    <row r="59" spans="1:66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</row>
  </sheetData>
  <mergeCells count="31">
    <mergeCell ref="BA1:BN2"/>
    <mergeCell ref="BG4:BI4"/>
    <mergeCell ref="BK4:BM4"/>
    <mergeCell ref="BA3:BM3"/>
    <mergeCell ref="AW1:AY1"/>
    <mergeCell ref="AL1:AU1"/>
    <mergeCell ref="AN2:AU2"/>
    <mergeCell ref="AS3:AT3"/>
    <mergeCell ref="AL2:AL3"/>
    <mergeCell ref="AN4:AS4"/>
    <mergeCell ref="S4:T4"/>
    <mergeCell ref="BQ4:BR4"/>
    <mergeCell ref="BA4:BE4"/>
    <mergeCell ref="AB4:AC4"/>
    <mergeCell ref="AD4:AE4"/>
    <mergeCell ref="A1:A5"/>
    <mergeCell ref="O3:X3"/>
    <mergeCell ref="AF4:AG4"/>
    <mergeCell ref="Z3:AI3"/>
    <mergeCell ref="C1:AJ1"/>
    <mergeCell ref="C2:AJ2"/>
    <mergeCell ref="C3:M3"/>
    <mergeCell ref="C4:D4"/>
    <mergeCell ref="E4:F4"/>
    <mergeCell ref="G4:H4"/>
    <mergeCell ref="I4:J4"/>
    <mergeCell ref="L4:M4"/>
    <mergeCell ref="O4:P4"/>
    <mergeCell ref="Q4:R4"/>
    <mergeCell ref="U4:V4"/>
    <mergeCell ref="Z4:AA4"/>
  </mergeCells>
  <phoneticPr fontId="2" type="noConversion"/>
  <printOptions gridLines="1"/>
  <pageMargins left="0.63" right="0.08" top="1.33" bottom="0.18" header="0.47" footer="0.18"/>
  <pageSetup paperSize="5" orientation="landscape" r:id="rId1"/>
  <headerFooter alignWithMargins="0">
    <oddHeader xml:space="preserve">&amp;CGeneral Election
Tuesday, November 6, 2018
Missaukee County, Michigan
Final Official Results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35"/>
  <sheetViews>
    <sheetView tabSelected="1" view="pageLayout" zoomScaleNormal="100" workbookViewId="0">
      <selection activeCell="I10" sqref="I10"/>
    </sheetView>
  </sheetViews>
  <sheetFormatPr defaultRowHeight="12.75" x14ac:dyDescent="0.2"/>
  <cols>
    <col min="1" max="1" width="12" customWidth="1"/>
    <col min="2" max="2" width="0.5703125" customWidth="1"/>
    <col min="3" max="10" width="5.140625" customWidth="1"/>
    <col min="11" max="11" width="0.5703125" customWidth="1"/>
    <col min="12" max="12" width="5.5703125" customWidth="1"/>
    <col min="13" max="13" width="0.5703125" customWidth="1"/>
    <col min="14" max="20" width="4.7109375" customWidth="1"/>
    <col min="21" max="21" width="0.5703125" customWidth="1"/>
    <col min="22" max="22" width="6.7109375" customWidth="1"/>
    <col min="23" max="23" width="0.5703125" customWidth="1"/>
    <col min="24" max="25" width="4.140625" customWidth="1"/>
    <col min="26" max="26" width="0.5703125" customWidth="1"/>
    <col min="27" max="30" width="5" customWidth="1"/>
    <col min="31" max="32" width="4.7109375" customWidth="1"/>
    <col min="33" max="33" width="0.5703125" customWidth="1"/>
    <col min="34" max="34" width="9.28515625" customWidth="1"/>
    <col min="35" max="35" width="0.5703125" customWidth="1"/>
    <col min="36" max="36" width="5.28515625" customWidth="1"/>
    <col min="37" max="37" width="0.5703125" customWidth="1"/>
    <col min="38" max="38" width="4.85546875" customWidth="1"/>
    <col min="39" max="39" width="5.42578125" customWidth="1"/>
    <col min="40" max="40" width="0.5703125" customWidth="1"/>
    <col min="41" max="42" width="4.85546875" customWidth="1"/>
    <col min="43" max="43" width="0.5703125" customWidth="1"/>
    <col min="44" max="44" width="5.42578125" customWidth="1"/>
    <col min="45" max="45" width="6.140625" customWidth="1"/>
    <col min="46" max="46" width="0.5703125" customWidth="1"/>
    <col min="47" max="47" width="6.28515625" customWidth="1"/>
    <col min="48" max="48" width="7" customWidth="1"/>
    <col min="49" max="49" width="1" customWidth="1"/>
    <col min="50" max="53" width="4.85546875" customWidth="1"/>
    <col min="54" max="54" width="0.5703125" customWidth="1"/>
    <col min="55" max="55" width="11.140625" customWidth="1"/>
    <col min="56" max="56" width="0.5703125" customWidth="1"/>
    <col min="57" max="58" width="5.7109375" customWidth="1"/>
    <col min="59" max="59" width="0.5703125" customWidth="1"/>
    <col min="60" max="63" width="4.85546875" customWidth="1"/>
    <col min="64" max="64" width="0.5703125" customWidth="1"/>
    <col min="65" max="67" width="4.85546875" customWidth="1"/>
    <col min="68" max="68" width="0.5703125" customWidth="1"/>
    <col min="69" max="70" width="4.85546875" customWidth="1"/>
    <col min="71" max="71" width="0.5703125" customWidth="1"/>
  </cols>
  <sheetData>
    <row r="1" spans="1:72" ht="13.5" thickBot="1" x14ac:dyDescent="0.25">
      <c r="A1" s="358"/>
      <c r="B1" s="249"/>
      <c r="C1" s="306" t="s">
        <v>156</v>
      </c>
      <c r="D1" s="306"/>
      <c r="E1" s="306"/>
      <c r="F1" s="306"/>
      <c r="G1" s="306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249"/>
      <c r="AA1" s="297" t="s">
        <v>35</v>
      </c>
      <c r="AB1" s="297"/>
      <c r="AC1" s="297"/>
      <c r="AD1" s="297"/>
      <c r="AE1" s="297"/>
      <c r="AF1" s="297"/>
      <c r="AG1" s="297"/>
      <c r="AH1" s="297"/>
      <c r="AI1" s="297"/>
      <c r="AJ1" s="297"/>
      <c r="AK1" s="297"/>
      <c r="AL1" s="297"/>
      <c r="AM1" s="297"/>
      <c r="AN1" s="382"/>
    </row>
    <row r="2" spans="1:72" ht="17.25" customHeight="1" x14ac:dyDescent="0.2">
      <c r="A2" s="359"/>
      <c r="B2" s="202"/>
      <c r="C2" s="356" t="s">
        <v>23</v>
      </c>
      <c r="D2" s="326"/>
      <c r="E2" s="326"/>
      <c r="F2" s="326"/>
      <c r="G2" s="326"/>
      <c r="H2" s="326"/>
      <c r="I2" s="326"/>
      <c r="J2" s="357"/>
      <c r="K2" s="204"/>
      <c r="L2" s="370" t="s">
        <v>4</v>
      </c>
      <c r="M2" s="371"/>
      <c r="N2" s="371"/>
      <c r="O2" s="371"/>
      <c r="P2" s="371"/>
      <c r="Q2" s="371"/>
      <c r="R2" s="371"/>
      <c r="S2" s="371"/>
      <c r="T2" s="372"/>
      <c r="U2" s="248"/>
      <c r="V2" s="312" t="s">
        <v>5</v>
      </c>
      <c r="W2" s="313"/>
      <c r="X2" s="313"/>
      <c r="Y2" s="313"/>
      <c r="Z2" s="53"/>
      <c r="AA2" s="303"/>
      <c r="AB2" s="303"/>
      <c r="AC2" s="303"/>
      <c r="AD2" s="303"/>
      <c r="AE2" s="303"/>
      <c r="AF2" s="303"/>
      <c r="AG2" s="303"/>
      <c r="AH2" s="303"/>
      <c r="AI2" s="303"/>
      <c r="AJ2" s="303"/>
      <c r="AK2" s="303"/>
      <c r="AL2" s="303"/>
      <c r="AM2" s="303"/>
      <c r="AN2" s="383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11"/>
    </row>
    <row r="3" spans="1:72" ht="17.25" customHeight="1" x14ac:dyDescent="0.2">
      <c r="A3" s="359"/>
      <c r="B3" s="202"/>
      <c r="C3" s="312"/>
      <c r="D3" s="313"/>
      <c r="E3" s="313"/>
      <c r="F3" s="313"/>
      <c r="G3" s="313"/>
      <c r="H3" s="313"/>
      <c r="I3" s="313"/>
      <c r="J3" s="314"/>
      <c r="K3" s="202"/>
      <c r="L3" s="368" t="s">
        <v>189</v>
      </c>
      <c r="M3" s="42"/>
      <c r="N3" s="373" t="s">
        <v>37</v>
      </c>
      <c r="O3" s="374"/>
      <c r="P3" s="374"/>
      <c r="Q3" s="374"/>
      <c r="R3" s="374"/>
      <c r="S3" s="374"/>
      <c r="T3" s="374"/>
      <c r="U3" s="31"/>
      <c r="V3" s="233" t="s">
        <v>61</v>
      </c>
      <c r="W3" s="44"/>
      <c r="X3" s="378" t="s">
        <v>0</v>
      </c>
      <c r="Y3" s="379"/>
      <c r="Z3" s="47"/>
      <c r="AA3" s="335" t="s">
        <v>25</v>
      </c>
      <c r="AB3" s="336"/>
      <c r="AC3" s="336"/>
      <c r="AD3" s="336"/>
      <c r="AE3" s="336"/>
      <c r="AF3" s="336"/>
      <c r="AG3" s="336"/>
      <c r="AH3" s="336"/>
      <c r="AI3" s="336"/>
      <c r="AJ3" s="336"/>
      <c r="AK3" s="336"/>
      <c r="AL3" s="336"/>
      <c r="AM3" s="336"/>
      <c r="AN3" s="385"/>
      <c r="AO3" s="355"/>
      <c r="AP3" s="352"/>
      <c r="AQ3" s="352"/>
      <c r="AR3" s="352"/>
      <c r="AS3" s="352"/>
      <c r="AT3" s="9"/>
      <c r="AU3" s="9"/>
      <c r="AV3" s="9"/>
      <c r="AW3" s="9"/>
      <c r="AX3" s="9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9"/>
      <c r="BT3" s="11"/>
    </row>
    <row r="4" spans="1:72" ht="27" customHeight="1" x14ac:dyDescent="0.2">
      <c r="A4" s="359"/>
      <c r="B4" s="202"/>
      <c r="C4" s="361" t="s">
        <v>64</v>
      </c>
      <c r="D4" s="362"/>
      <c r="E4" s="362"/>
      <c r="F4" s="362"/>
      <c r="G4" s="362"/>
      <c r="H4" s="362"/>
      <c r="I4" s="362"/>
      <c r="J4" s="363"/>
      <c r="K4" s="202"/>
      <c r="L4" s="369"/>
      <c r="M4" s="42"/>
      <c r="N4" s="49" t="s">
        <v>38</v>
      </c>
      <c r="O4" s="50" t="s">
        <v>39</v>
      </c>
      <c r="P4" s="51" t="s">
        <v>40</v>
      </c>
      <c r="Q4" s="51" t="s">
        <v>41</v>
      </c>
      <c r="R4" s="51" t="s">
        <v>42</v>
      </c>
      <c r="S4" s="51" t="s">
        <v>43</v>
      </c>
      <c r="T4" s="51" t="s">
        <v>44</v>
      </c>
      <c r="U4" s="44"/>
      <c r="V4" s="233" t="s">
        <v>2</v>
      </c>
      <c r="W4" s="46"/>
      <c r="X4" s="380" t="s">
        <v>75</v>
      </c>
      <c r="Y4" s="371"/>
      <c r="Z4" s="31"/>
      <c r="AA4" s="386" t="s">
        <v>190</v>
      </c>
      <c r="AB4" s="386"/>
      <c r="AC4" s="386"/>
      <c r="AD4" s="386"/>
      <c r="AE4" s="387"/>
      <c r="AF4" s="387"/>
      <c r="AG4" s="64"/>
      <c r="AH4" s="386" t="s">
        <v>194</v>
      </c>
      <c r="AI4" s="64"/>
      <c r="AJ4" s="384" t="s">
        <v>195</v>
      </c>
      <c r="AK4" s="66"/>
      <c r="AL4" s="389" t="s">
        <v>196</v>
      </c>
      <c r="AM4" s="390"/>
      <c r="AN4" s="66"/>
      <c r="AO4" s="350"/>
      <c r="AP4" s="350"/>
      <c r="AQ4" s="62"/>
      <c r="AR4" s="350"/>
      <c r="AS4" s="350"/>
      <c r="AT4" s="62"/>
      <c r="AU4" s="311"/>
      <c r="AV4" s="4"/>
      <c r="AW4" s="4"/>
      <c r="AX4" s="4"/>
      <c r="AY4" s="4"/>
      <c r="AZ4" s="4"/>
      <c r="BA4" s="4"/>
      <c r="BB4" s="4"/>
      <c r="BC4" s="350"/>
      <c r="BD4" s="62"/>
      <c r="BE4" s="350"/>
      <c r="BF4" s="350"/>
      <c r="BG4" s="62"/>
      <c r="BH4" s="311"/>
      <c r="BI4" s="311"/>
      <c r="BJ4" s="311"/>
      <c r="BK4" s="311"/>
      <c r="BL4" s="4"/>
      <c r="BM4" s="311"/>
      <c r="BN4" s="311"/>
      <c r="BO4" s="311"/>
      <c r="BP4" s="4"/>
      <c r="BQ4" s="311"/>
      <c r="BR4" s="311"/>
      <c r="BS4" s="4"/>
      <c r="BT4" s="11"/>
    </row>
    <row r="5" spans="1:72" ht="25.9" customHeight="1" thickBot="1" x14ac:dyDescent="0.25">
      <c r="A5" s="360"/>
      <c r="B5" s="221"/>
      <c r="C5" s="341" t="s">
        <v>11</v>
      </c>
      <c r="D5" s="342"/>
      <c r="E5" s="364" t="s">
        <v>12</v>
      </c>
      <c r="F5" s="365"/>
      <c r="G5" s="366" t="s">
        <v>20</v>
      </c>
      <c r="H5" s="367"/>
      <c r="I5" s="332" t="s">
        <v>21</v>
      </c>
      <c r="J5" s="347"/>
      <c r="K5" s="221"/>
      <c r="L5" s="92" t="s">
        <v>11</v>
      </c>
      <c r="M5" s="43"/>
      <c r="N5" s="375" t="s">
        <v>17</v>
      </c>
      <c r="O5" s="376"/>
      <c r="P5" s="376"/>
      <c r="Q5" s="376"/>
      <c r="R5" s="376"/>
      <c r="S5" s="376"/>
      <c r="T5" s="377"/>
      <c r="U5" s="45"/>
      <c r="V5" s="72" t="s">
        <v>11</v>
      </c>
      <c r="W5" s="28"/>
      <c r="X5" s="341" t="s">
        <v>11</v>
      </c>
      <c r="Y5" s="381"/>
      <c r="Z5" s="48"/>
      <c r="AA5" s="388"/>
      <c r="AB5" s="388"/>
      <c r="AC5" s="388"/>
      <c r="AD5" s="388"/>
      <c r="AE5" s="388"/>
      <c r="AF5" s="388"/>
      <c r="AG5" s="48"/>
      <c r="AH5" s="325"/>
      <c r="AI5" s="28"/>
      <c r="AJ5" s="325"/>
      <c r="AK5" s="66"/>
      <c r="AL5" s="391"/>
      <c r="AM5" s="392"/>
      <c r="AN5" s="250"/>
      <c r="AO5" s="350"/>
      <c r="AP5" s="350"/>
      <c r="AQ5" s="62"/>
      <c r="AR5" s="350"/>
      <c r="AS5" s="350"/>
      <c r="AT5" s="62"/>
      <c r="AU5" s="311"/>
      <c r="AV5" s="4"/>
      <c r="AW5" s="4"/>
      <c r="AX5" s="4"/>
      <c r="AY5" s="4"/>
      <c r="AZ5" s="4"/>
      <c r="BA5" s="4"/>
      <c r="BB5" s="4"/>
      <c r="BC5" s="350"/>
      <c r="BD5" s="62"/>
      <c r="BE5" s="350"/>
      <c r="BF5" s="350"/>
      <c r="BG5" s="62"/>
      <c r="BH5" s="311"/>
      <c r="BI5" s="311"/>
      <c r="BJ5" s="311"/>
      <c r="BK5" s="311"/>
      <c r="BL5" s="4"/>
      <c r="BM5" s="311"/>
      <c r="BN5" s="311"/>
      <c r="BO5" s="311"/>
      <c r="BP5" s="4"/>
      <c r="BQ5" s="311"/>
      <c r="BR5" s="311"/>
      <c r="BS5" s="4"/>
      <c r="BT5" s="11"/>
    </row>
    <row r="6" spans="1:72" ht="71.45" customHeight="1" x14ac:dyDescent="0.2">
      <c r="A6" s="251" t="s">
        <v>116</v>
      </c>
      <c r="B6" s="247"/>
      <c r="C6" s="52" t="s">
        <v>181</v>
      </c>
      <c r="D6" s="52" t="s">
        <v>182</v>
      </c>
      <c r="E6" s="52" t="s">
        <v>183</v>
      </c>
      <c r="F6" s="52" t="s">
        <v>184</v>
      </c>
      <c r="G6" s="52" t="s">
        <v>185</v>
      </c>
      <c r="H6" s="52" t="s">
        <v>186</v>
      </c>
      <c r="I6" s="52" t="s">
        <v>187</v>
      </c>
      <c r="J6" s="52" t="s">
        <v>188</v>
      </c>
      <c r="K6" s="222"/>
      <c r="L6" s="38" t="s">
        <v>102</v>
      </c>
      <c r="M6" s="84"/>
      <c r="N6" s="38" t="s">
        <v>7</v>
      </c>
      <c r="O6" s="38" t="s">
        <v>15</v>
      </c>
      <c r="P6" s="38" t="s">
        <v>103</v>
      </c>
      <c r="Q6" s="38" t="s">
        <v>104</v>
      </c>
      <c r="R6" s="38" t="s">
        <v>105</v>
      </c>
      <c r="S6" s="52" t="s">
        <v>9</v>
      </c>
      <c r="T6" s="52" t="s">
        <v>6</v>
      </c>
      <c r="U6" s="85"/>
      <c r="V6" s="52" t="s">
        <v>106</v>
      </c>
      <c r="W6" s="85"/>
      <c r="X6" s="52" t="s">
        <v>107</v>
      </c>
      <c r="Y6" s="52" t="s">
        <v>108</v>
      </c>
      <c r="Z6" s="85"/>
      <c r="AA6" s="52" t="s">
        <v>191</v>
      </c>
      <c r="AB6" s="52" t="s">
        <v>192</v>
      </c>
      <c r="AC6" s="52" t="s">
        <v>109</v>
      </c>
      <c r="AD6" s="52" t="s">
        <v>26</v>
      </c>
      <c r="AE6" s="52" t="s">
        <v>193</v>
      </c>
      <c r="AF6" s="52" t="s">
        <v>110</v>
      </c>
      <c r="AG6" s="85"/>
      <c r="AH6" s="52" t="s">
        <v>111</v>
      </c>
      <c r="AI6" s="81"/>
      <c r="AJ6" s="288" t="s">
        <v>112</v>
      </c>
      <c r="AK6" s="87"/>
      <c r="AL6" s="65" t="s">
        <v>113</v>
      </c>
      <c r="AM6" s="86" t="s">
        <v>114</v>
      </c>
      <c r="AN6" s="87"/>
      <c r="AO6" s="63"/>
      <c r="AP6" s="63"/>
      <c r="AQ6" s="63"/>
      <c r="AR6" s="63"/>
      <c r="AS6" s="63"/>
      <c r="AT6" s="63"/>
      <c r="AU6" s="63"/>
      <c r="AV6" s="63"/>
      <c r="AW6" s="63"/>
      <c r="AX6" s="63"/>
      <c r="AY6" s="63"/>
      <c r="AZ6" s="63"/>
      <c r="BA6" s="63"/>
      <c r="BB6" s="63"/>
      <c r="BC6" s="63"/>
      <c r="BD6" s="63"/>
      <c r="BE6" s="63"/>
      <c r="BF6" s="63"/>
      <c r="BG6" s="63"/>
      <c r="BH6" s="63"/>
      <c r="BI6" s="63"/>
      <c r="BJ6" s="63"/>
      <c r="BK6" s="63"/>
      <c r="BL6" s="63"/>
      <c r="BM6" s="63"/>
      <c r="BN6" s="63"/>
      <c r="BO6" s="63"/>
      <c r="BP6" s="63"/>
      <c r="BQ6" s="63"/>
      <c r="BR6" s="63"/>
      <c r="BS6" s="61"/>
      <c r="BT6" s="11"/>
    </row>
    <row r="7" spans="1:72" ht="15.75" customHeight="1" x14ac:dyDescent="0.2">
      <c r="A7" s="58" t="s">
        <v>0</v>
      </c>
      <c r="B7" s="205"/>
      <c r="C7" s="13">
        <v>124</v>
      </c>
      <c r="D7" s="13">
        <v>133</v>
      </c>
      <c r="E7" s="13">
        <v>25</v>
      </c>
      <c r="F7" s="13">
        <v>18</v>
      </c>
      <c r="G7" s="13">
        <v>3</v>
      </c>
      <c r="H7" s="13">
        <v>2</v>
      </c>
      <c r="I7" s="13">
        <v>9</v>
      </c>
      <c r="J7" s="13">
        <v>3</v>
      </c>
      <c r="K7" s="205"/>
      <c r="L7" s="19">
        <v>180</v>
      </c>
      <c r="M7" s="26"/>
      <c r="N7" s="225"/>
      <c r="O7" s="225"/>
      <c r="P7" s="225"/>
      <c r="Q7" s="225"/>
      <c r="R7" s="225"/>
      <c r="S7" s="225"/>
      <c r="T7" s="225">
        <v>175</v>
      </c>
      <c r="U7" s="36"/>
      <c r="V7" s="225"/>
      <c r="W7" s="36"/>
      <c r="X7" s="225">
        <v>157</v>
      </c>
      <c r="Y7" s="225">
        <v>142</v>
      </c>
      <c r="Z7" s="36"/>
      <c r="AA7" s="225">
        <v>9</v>
      </c>
      <c r="AB7" s="283">
        <v>35</v>
      </c>
      <c r="AC7" s="283">
        <v>124</v>
      </c>
      <c r="AD7" s="283">
        <v>18</v>
      </c>
      <c r="AE7" s="283">
        <v>11</v>
      </c>
      <c r="AF7" s="283">
        <v>98</v>
      </c>
      <c r="AG7" s="36"/>
      <c r="AH7" s="283">
        <v>146</v>
      </c>
      <c r="AI7" s="66"/>
      <c r="AJ7" s="283">
        <v>145</v>
      </c>
      <c r="AK7" s="66"/>
      <c r="AL7" s="225">
        <v>77</v>
      </c>
      <c r="AM7" s="283">
        <v>110</v>
      </c>
      <c r="AN7" s="66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</row>
    <row r="8" spans="1:72" ht="15.75" customHeight="1" x14ac:dyDescent="0.2">
      <c r="A8" s="58" t="s">
        <v>46</v>
      </c>
      <c r="B8" s="205"/>
      <c r="C8" s="13">
        <v>150</v>
      </c>
      <c r="D8" s="13">
        <v>143</v>
      </c>
      <c r="E8" s="13">
        <v>72</v>
      </c>
      <c r="F8" s="13">
        <v>62</v>
      </c>
      <c r="G8" s="13">
        <v>6</v>
      </c>
      <c r="H8" s="13">
        <v>5</v>
      </c>
      <c r="I8" s="13">
        <v>12</v>
      </c>
      <c r="J8" s="13">
        <v>5</v>
      </c>
      <c r="K8" s="205"/>
      <c r="L8" s="243">
        <v>226</v>
      </c>
      <c r="M8" s="26"/>
      <c r="N8" s="225"/>
      <c r="O8" s="225">
        <v>214</v>
      </c>
      <c r="P8" s="225"/>
      <c r="Q8" s="225"/>
      <c r="R8" s="225"/>
      <c r="S8" s="225"/>
      <c r="T8" s="225"/>
      <c r="U8" s="36"/>
      <c r="V8" s="225"/>
      <c r="W8" s="36"/>
      <c r="X8" s="225"/>
      <c r="Y8" s="225"/>
      <c r="Z8" s="36"/>
      <c r="AA8" s="225">
        <v>12</v>
      </c>
      <c r="AB8" s="225">
        <v>72</v>
      </c>
      <c r="AC8" s="225">
        <v>118</v>
      </c>
      <c r="AD8" s="283">
        <v>37</v>
      </c>
      <c r="AE8" s="283">
        <v>49</v>
      </c>
      <c r="AF8" s="283">
        <v>117</v>
      </c>
      <c r="AG8" s="36"/>
      <c r="AH8" s="283">
        <v>196</v>
      </c>
      <c r="AI8" s="66"/>
      <c r="AJ8" s="283">
        <v>196</v>
      </c>
      <c r="AK8" s="66"/>
      <c r="AL8" s="225">
        <v>113</v>
      </c>
      <c r="AM8" s="283">
        <v>126</v>
      </c>
      <c r="AN8" s="66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</row>
    <row r="9" spans="1:72" ht="15.75" customHeight="1" x14ac:dyDescent="0.2">
      <c r="A9" s="58" t="s">
        <v>47</v>
      </c>
      <c r="B9" s="205"/>
      <c r="C9" s="13">
        <v>106</v>
      </c>
      <c r="D9" s="13">
        <v>99</v>
      </c>
      <c r="E9" s="13">
        <v>48</v>
      </c>
      <c r="F9" s="13">
        <v>36</v>
      </c>
      <c r="G9" s="13">
        <v>9</v>
      </c>
      <c r="H9" s="13">
        <v>7</v>
      </c>
      <c r="I9" s="13">
        <v>16</v>
      </c>
      <c r="J9" s="13">
        <v>7</v>
      </c>
      <c r="K9" s="205"/>
      <c r="L9" s="243">
        <v>181</v>
      </c>
      <c r="M9" s="26"/>
      <c r="N9" s="225"/>
      <c r="O9" s="225"/>
      <c r="P9" s="225"/>
      <c r="Q9" s="225"/>
      <c r="R9" s="225"/>
      <c r="S9" s="225"/>
      <c r="T9" s="225">
        <v>169</v>
      </c>
      <c r="U9" s="36"/>
      <c r="V9" s="225"/>
      <c r="W9" s="36"/>
      <c r="X9" s="225"/>
      <c r="Y9" s="225"/>
      <c r="Z9" s="36"/>
      <c r="AA9" s="225">
        <v>23</v>
      </c>
      <c r="AB9" s="225">
        <v>57</v>
      </c>
      <c r="AC9" s="225">
        <v>80</v>
      </c>
      <c r="AD9" s="289">
        <v>8</v>
      </c>
      <c r="AE9" s="289">
        <v>44</v>
      </c>
      <c r="AF9" s="289">
        <v>110</v>
      </c>
      <c r="AG9" s="36"/>
      <c r="AH9" s="289">
        <v>129</v>
      </c>
      <c r="AI9" s="66"/>
      <c r="AJ9" s="289">
        <v>132</v>
      </c>
      <c r="AK9" s="66"/>
      <c r="AL9" s="225">
        <v>122</v>
      </c>
      <c r="AM9" s="289">
        <v>88</v>
      </c>
      <c r="AN9" s="66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</row>
    <row r="10" spans="1:72" ht="15.75" customHeight="1" x14ac:dyDescent="0.2">
      <c r="A10" s="58" t="s">
        <v>48</v>
      </c>
      <c r="B10" s="205"/>
      <c r="C10" s="13">
        <v>337</v>
      </c>
      <c r="D10" s="13">
        <v>326</v>
      </c>
      <c r="E10" s="13">
        <v>95</v>
      </c>
      <c r="F10" s="13">
        <v>61</v>
      </c>
      <c r="G10" s="13">
        <v>8</v>
      </c>
      <c r="H10" s="13">
        <v>5</v>
      </c>
      <c r="I10" s="13">
        <v>26</v>
      </c>
      <c r="J10" s="13">
        <v>16</v>
      </c>
      <c r="K10" s="205"/>
      <c r="L10" s="243">
        <v>489</v>
      </c>
      <c r="M10" s="26"/>
      <c r="N10" s="225">
        <v>475</v>
      </c>
      <c r="O10" s="225"/>
      <c r="P10" s="225"/>
      <c r="Q10" s="225"/>
      <c r="R10" s="225"/>
      <c r="S10" s="225"/>
      <c r="T10" s="225"/>
      <c r="U10" s="36"/>
      <c r="V10" s="225"/>
      <c r="W10" s="36"/>
      <c r="X10" s="225"/>
      <c r="Y10" s="225"/>
      <c r="Z10" s="36"/>
      <c r="AA10" s="225">
        <v>54</v>
      </c>
      <c r="AB10" s="225">
        <v>122</v>
      </c>
      <c r="AC10" s="225">
        <v>259</v>
      </c>
      <c r="AD10" s="283">
        <v>15</v>
      </c>
      <c r="AE10" s="283">
        <v>26</v>
      </c>
      <c r="AF10" s="283">
        <v>342</v>
      </c>
      <c r="AG10" s="36"/>
      <c r="AH10" s="283">
        <v>421</v>
      </c>
      <c r="AI10" s="66"/>
      <c r="AJ10" s="283">
        <v>414</v>
      </c>
      <c r="AK10" s="66"/>
      <c r="AL10" s="225">
        <v>189</v>
      </c>
      <c r="AM10" s="283">
        <v>316</v>
      </c>
      <c r="AN10" s="66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</row>
    <row r="11" spans="1:72" ht="15.75" customHeight="1" x14ac:dyDescent="0.2">
      <c r="A11" s="58" t="s">
        <v>49</v>
      </c>
      <c r="B11" s="205"/>
      <c r="C11" s="13">
        <v>266</v>
      </c>
      <c r="D11" s="13">
        <v>257</v>
      </c>
      <c r="E11" s="13">
        <v>41</v>
      </c>
      <c r="F11" s="13">
        <v>38</v>
      </c>
      <c r="G11" s="13">
        <v>6</v>
      </c>
      <c r="H11" s="13">
        <v>4</v>
      </c>
      <c r="I11" s="13">
        <v>12</v>
      </c>
      <c r="J11" s="13">
        <v>6</v>
      </c>
      <c r="K11" s="205"/>
      <c r="L11" s="243">
        <v>350</v>
      </c>
      <c r="M11" s="26"/>
      <c r="N11" s="225"/>
      <c r="O11" s="225"/>
      <c r="P11" s="225"/>
      <c r="Q11" s="225"/>
      <c r="R11" s="225"/>
      <c r="S11" s="225"/>
      <c r="T11" s="225">
        <v>339</v>
      </c>
      <c r="U11" s="36"/>
      <c r="V11" s="225"/>
      <c r="W11" s="36"/>
      <c r="X11" s="225"/>
      <c r="Y11" s="225"/>
      <c r="Z11" s="36"/>
      <c r="AA11" s="283">
        <v>35</v>
      </c>
      <c r="AB11" s="283">
        <v>97</v>
      </c>
      <c r="AC11" s="283">
        <v>213</v>
      </c>
      <c r="AD11" s="283">
        <v>15</v>
      </c>
      <c r="AE11" s="283">
        <v>26</v>
      </c>
      <c r="AF11" s="283">
        <v>204</v>
      </c>
      <c r="AG11" s="36"/>
      <c r="AH11" s="283">
        <v>308</v>
      </c>
      <c r="AI11" s="66"/>
      <c r="AJ11" s="283">
        <v>310</v>
      </c>
      <c r="AK11" s="66"/>
      <c r="AL11" s="283">
        <v>100</v>
      </c>
      <c r="AM11" s="283">
        <v>259</v>
      </c>
      <c r="AN11" s="66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</row>
    <row r="12" spans="1:72" ht="15.75" customHeight="1" x14ac:dyDescent="0.2">
      <c r="A12" s="58" t="s">
        <v>50</v>
      </c>
      <c r="B12" s="205"/>
      <c r="C12" s="13">
        <v>54</v>
      </c>
      <c r="D12" s="13">
        <v>49</v>
      </c>
      <c r="E12" s="13">
        <v>21</v>
      </c>
      <c r="F12" s="13">
        <v>14</v>
      </c>
      <c r="G12" s="13">
        <v>5</v>
      </c>
      <c r="H12" s="13">
        <v>2</v>
      </c>
      <c r="I12" s="13">
        <v>1</v>
      </c>
      <c r="J12" s="13">
        <v>0</v>
      </c>
      <c r="K12" s="205"/>
      <c r="L12" s="243">
        <v>79</v>
      </c>
      <c r="M12" s="26"/>
      <c r="N12" s="225"/>
      <c r="O12" s="225">
        <v>78</v>
      </c>
      <c r="P12" s="225"/>
      <c r="Q12" s="225"/>
      <c r="R12" s="225"/>
      <c r="S12" s="225"/>
      <c r="T12" s="225"/>
      <c r="U12" s="36"/>
      <c r="V12" s="225"/>
      <c r="W12" s="36"/>
      <c r="X12" s="225"/>
      <c r="Y12" s="225"/>
      <c r="Z12" s="36"/>
      <c r="AA12" s="226">
        <v>5</v>
      </c>
      <c r="AB12" s="226">
        <v>35</v>
      </c>
      <c r="AC12" s="226">
        <v>44</v>
      </c>
      <c r="AD12" s="283">
        <v>3</v>
      </c>
      <c r="AE12" s="283">
        <v>9</v>
      </c>
      <c r="AF12" s="283">
        <v>33</v>
      </c>
      <c r="AG12" s="36"/>
      <c r="AH12" s="283">
        <v>63</v>
      </c>
      <c r="AI12" s="66"/>
      <c r="AJ12" s="283">
        <v>61</v>
      </c>
      <c r="AK12" s="66"/>
      <c r="AL12" s="225">
        <v>50</v>
      </c>
      <c r="AM12" s="283">
        <v>35</v>
      </c>
      <c r="AN12" s="66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 spans="1:72" ht="15.75" customHeight="1" x14ac:dyDescent="0.2">
      <c r="A13" s="58" t="s">
        <v>52</v>
      </c>
      <c r="B13" s="205"/>
      <c r="C13" s="13">
        <v>54</v>
      </c>
      <c r="D13" s="13">
        <v>56</v>
      </c>
      <c r="E13" s="13">
        <v>28</v>
      </c>
      <c r="F13" s="13">
        <v>22</v>
      </c>
      <c r="G13" s="13">
        <v>2</v>
      </c>
      <c r="H13" s="13">
        <v>2</v>
      </c>
      <c r="I13" s="13">
        <v>4</v>
      </c>
      <c r="J13" s="13">
        <v>1</v>
      </c>
      <c r="K13" s="205"/>
      <c r="L13" s="243">
        <v>101</v>
      </c>
      <c r="M13" s="26"/>
      <c r="N13" s="225"/>
      <c r="O13" s="225"/>
      <c r="P13" s="225"/>
      <c r="Q13" s="225"/>
      <c r="R13" s="225"/>
      <c r="S13" s="225"/>
      <c r="T13" s="225">
        <v>99</v>
      </c>
      <c r="U13" s="36"/>
      <c r="V13" s="225"/>
      <c r="W13" s="36"/>
      <c r="X13" s="225"/>
      <c r="Y13" s="225"/>
      <c r="Z13" s="36"/>
      <c r="AA13" s="283">
        <v>14</v>
      </c>
      <c r="AB13" s="283">
        <v>34</v>
      </c>
      <c r="AC13" s="283">
        <v>33</v>
      </c>
      <c r="AD13" s="283">
        <v>19</v>
      </c>
      <c r="AE13" s="283">
        <v>20</v>
      </c>
      <c r="AF13" s="283">
        <v>41</v>
      </c>
      <c r="AG13" s="36"/>
      <c r="AH13" s="283">
        <v>89</v>
      </c>
      <c r="AI13" s="66"/>
      <c r="AJ13" s="283">
        <v>90</v>
      </c>
      <c r="AK13" s="66"/>
      <c r="AL13" s="283">
        <v>55</v>
      </c>
      <c r="AM13" s="283">
        <v>47</v>
      </c>
      <c r="AN13" s="66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</row>
    <row r="14" spans="1:72" ht="15.75" customHeight="1" x14ac:dyDescent="0.2">
      <c r="A14" s="58" t="s">
        <v>51</v>
      </c>
      <c r="B14" s="205"/>
      <c r="C14" s="13">
        <v>250</v>
      </c>
      <c r="D14" s="13">
        <v>239</v>
      </c>
      <c r="E14" s="13">
        <v>106</v>
      </c>
      <c r="F14" s="13">
        <v>89</v>
      </c>
      <c r="G14" s="13">
        <v>12</v>
      </c>
      <c r="H14" s="13">
        <v>6</v>
      </c>
      <c r="I14" s="13">
        <v>26</v>
      </c>
      <c r="J14" s="13">
        <v>10</v>
      </c>
      <c r="K14" s="205"/>
      <c r="L14" s="243">
        <v>418</v>
      </c>
      <c r="M14" s="26"/>
      <c r="N14" s="225"/>
      <c r="O14" s="225"/>
      <c r="P14" s="225">
        <v>389</v>
      </c>
      <c r="Q14" s="225"/>
      <c r="R14" s="225"/>
      <c r="S14" s="225"/>
      <c r="T14" s="225"/>
      <c r="U14" s="36"/>
      <c r="V14" s="225"/>
      <c r="W14" s="36"/>
      <c r="X14" s="225"/>
      <c r="Y14" s="225"/>
      <c r="Z14" s="36"/>
      <c r="AA14" s="283">
        <v>29</v>
      </c>
      <c r="AB14" s="283">
        <v>92</v>
      </c>
      <c r="AC14" s="283">
        <v>275</v>
      </c>
      <c r="AD14" s="283">
        <v>39</v>
      </c>
      <c r="AE14" s="283">
        <v>47</v>
      </c>
      <c r="AF14" s="283">
        <v>195</v>
      </c>
      <c r="AG14" s="36"/>
      <c r="AH14" s="283">
        <v>335</v>
      </c>
      <c r="AI14" s="66"/>
      <c r="AJ14" s="283">
        <v>333</v>
      </c>
      <c r="AK14" s="66"/>
      <c r="AL14" s="283">
        <v>214</v>
      </c>
      <c r="AM14" s="283">
        <v>235</v>
      </c>
      <c r="AN14" s="66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 spans="1:72" ht="15.75" customHeight="1" x14ac:dyDescent="0.2">
      <c r="A15" s="58" t="s">
        <v>53</v>
      </c>
      <c r="B15" s="205"/>
      <c r="C15" s="13">
        <v>727</v>
      </c>
      <c r="D15" s="13">
        <v>671</v>
      </c>
      <c r="E15" s="13">
        <v>346</v>
      </c>
      <c r="F15" s="13">
        <v>308</v>
      </c>
      <c r="G15" s="13">
        <v>40</v>
      </c>
      <c r="H15" s="13">
        <v>39</v>
      </c>
      <c r="I15" s="13">
        <v>69</v>
      </c>
      <c r="J15" s="13">
        <v>36</v>
      </c>
      <c r="K15" s="205"/>
      <c r="L15" s="243">
        <v>1161</v>
      </c>
      <c r="M15" s="26"/>
      <c r="N15" s="225">
        <v>224</v>
      </c>
      <c r="O15" s="225"/>
      <c r="P15" s="225"/>
      <c r="Q15" s="225">
        <v>882</v>
      </c>
      <c r="R15" s="225"/>
      <c r="S15" s="225"/>
      <c r="T15" s="225"/>
      <c r="U15" s="36"/>
      <c r="V15" s="225"/>
      <c r="W15" s="36"/>
      <c r="X15" s="225"/>
      <c r="Y15" s="225"/>
      <c r="Z15" s="36"/>
      <c r="AA15" s="293">
        <v>130</v>
      </c>
      <c r="AB15" s="293">
        <v>341</v>
      </c>
      <c r="AC15" s="293">
        <v>638</v>
      </c>
      <c r="AD15" s="293">
        <v>49</v>
      </c>
      <c r="AE15" s="293">
        <v>245</v>
      </c>
      <c r="AF15" s="293">
        <v>685</v>
      </c>
      <c r="AG15" s="36"/>
      <c r="AH15" s="293">
        <v>1013</v>
      </c>
      <c r="AI15" s="66"/>
      <c r="AJ15" s="293">
        <v>1007</v>
      </c>
      <c r="AK15" s="66">
        <v>549</v>
      </c>
      <c r="AL15" s="293">
        <v>549</v>
      </c>
      <c r="AM15" s="293">
        <v>776</v>
      </c>
      <c r="AN15" s="66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</row>
    <row r="16" spans="1:72" ht="16.5" customHeight="1" x14ac:dyDescent="0.2">
      <c r="A16" s="58" t="s">
        <v>8</v>
      </c>
      <c r="B16" s="205"/>
      <c r="C16" s="13">
        <v>169</v>
      </c>
      <c r="D16" s="13">
        <v>162</v>
      </c>
      <c r="E16" s="13">
        <v>68</v>
      </c>
      <c r="F16" s="13">
        <v>53</v>
      </c>
      <c r="G16" s="13">
        <v>8</v>
      </c>
      <c r="H16" s="13">
        <v>4</v>
      </c>
      <c r="I16" s="13">
        <v>12</v>
      </c>
      <c r="J16" s="13">
        <v>10</v>
      </c>
      <c r="K16" s="205"/>
      <c r="L16" s="243">
        <v>258</v>
      </c>
      <c r="M16" s="26"/>
      <c r="N16" s="225"/>
      <c r="O16" s="225">
        <v>244</v>
      </c>
      <c r="P16" s="225"/>
      <c r="Q16" s="225"/>
      <c r="R16" s="225"/>
      <c r="S16" s="225"/>
      <c r="T16" s="225"/>
      <c r="U16" s="36"/>
      <c r="V16" s="225"/>
      <c r="W16" s="36"/>
      <c r="X16" s="225"/>
      <c r="Y16" s="225"/>
      <c r="Z16" s="36"/>
      <c r="AA16" s="283">
        <v>31</v>
      </c>
      <c r="AB16" s="283">
        <v>80</v>
      </c>
      <c r="AC16" s="283">
        <v>117</v>
      </c>
      <c r="AD16" s="283">
        <v>23</v>
      </c>
      <c r="AE16" s="283">
        <v>23</v>
      </c>
      <c r="AF16" s="283">
        <v>176</v>
      </c>
      <c r="AG16" s="36"/>
      <c r="AH16" s="283">
        <v>224</v>
      </c>
      <c r="AI16" s="66"/>
      <c r="AJ16" s="283">
        <v>220</v>
      </c>
      <c r="AK16" s="66"/>
      <c r="AL16" s="283">
        <v>148</v>
      </c>
      <c r="AM16" s="283">
        <v>135</v>
      </c>
      <c r="AN16" s="66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</row>
    <row r="17" spans="1:72" ht="15.75" customHeight="1" x14ac:dyDescent="0.2">
      <c r="A17" s="58" t="s">
        <v>54</v>
      </c>
      <c r="B17" s="205"/>
      <c r="C17" s="13">
        <v>95</v>
      </c>
      <c r="D17" s="13">
        <v>95</v>
      </c>
      <c r="E17" s="13">
        <v>43</v>
      </c>
      <c r="F17" s="13">
        <v>49</v>
      </c>
      <c r="G17" s="13">
        <v>7</v>
      </c>
      <c r="H17" s="13">
        <v>6</v>
      </c>
      <c r="I17" s="13">
        <v>7</v>
      </c>
      <c r="J17" s="13">
        <v>3</v>
      </c>
      <c r="K17" s="205"/>
      <c r="L17" s="243">
        <v>165</v>
      </c>
      <c r="M17" s="26"/>
      <c r="N17" s="225"/>
      <c r="O17" s="225">
        <v>152</v>
      </c>
      <c r="P17" s="225"/>
      <c r="Q17" s="225"/>
      <c r="R17" s="225"/>
      <c r="S17" s="225"/>
      <c r="T17" s="225"/>
      <c r="U17" s="36"/>
      <c r="V17" s="225"/>
      <c r="W17" s="36"/>
      <c r="X17" s="225"/>
      <c r="Y17" s="225"/>
      <c r="Z17" s="36"/>
      <c r="AA17" s="289">
        <v>22</v>
      </c>
      <c r="AB17" s="289">
        <v>59</v>
      </c>
      <c r="AC17" s="289">
        <v>92</v>
      </c>
      <c r="AD17" s="289">
        <v>8</v>
      </c>
      <c r="AE17" s="289">
        <v>17</v>
      </c>
      <c r="AF17" s="289">
        <v>75</v>
      </c>
      <c r="AG17" s="36"/>
      <c r="AH17" s="289">
        <v>133</v>
      </c>
      <c r="AI17" s="66"/>
      <c r="AJ17" s="289">
        <v>128</v>
      </c>
      <c r="AK17" s="66"/>
      <c r="AL17" s="289">
        <v>104</v>
      </c>
      <c r="AM17" s="292">
        <v>89</v>
      </c>
      <c r="AN17" s="66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 spans="1:72" ht="15.75" customHeight="1" x14ac:dyDescent="0.2">
      <c r="A18" s="58" t="s">
        <v>61</v>
      </c>
      <c r="B18" s="205"/>
      <c r="C18" s="13">
        <v>284</v>
      </c>
      <c r="D18" s="13">
        <v>267</v>
      </c>
      <c r="E18" s="13">
        <v>110</v>
      </c>
      <c r="F18" s="13">
        <v>89</v>
      </c>
      <c r="G18" s="13">
        <v>4</v>
      </c>
      <c r="H18" s="13">
        <v>6</v>
      </c>
      <c r="I18" s="13">
        <v>22</v>
      </c>
      <c r="J18" s="13">
        <v>11</v>
      </c>
      <c r="K18" s="205"/>
      <c r="L18" s="243">
        <v>444</v>
      </c>
      <c r="M18" s="26"/>
      <c r="N18" s="225"/>
      <c r="O18" s="225"/>
      <c r="P18" s="225"/>
      <c r="Q18" s="225"/>
      <c r="R18" s="225"/>
      <c r="S18" s="225">
        <v>428</v>
      </c>
      <c r="T18" s="225"/>
      <c r="U18" s="36"/>
      <c r="V18" s="225">
        <v>430</v>
      </c>
      <c r="W18" s="36"/>
      <c r="X18" s="225"/>
      <c r="Y18" s="225"/>
      <c r="Z18" s="36"/>
      <c r="AA18" s="283">
        <v>23</v>
      </c>
      <c r="AB18" s="283">
        <v>173</v>
      </c>
      <c r="AC18" s="283">
        <v>260</v>
      </c>
      <c r="AD18" s="283">
        <v>33</v>
      </c>
      <c r="AE18" s="283">
        <v>39</v>
      </c>
      <c r="AF18" s="283">
        <v>221</v>
      </c>
      <c r="AG18" s="36"/>
      <c r="AH18" s="283">
        <v>350</v>
      </c>
      <c r="AI18" s="66"/>
      <c r="AJ18" s="283">
        <v>348</v>
      </c>
      <c r="AK18" s="66"/>
      <c r="AL18" s="225">
        <v>194</v>
      </c>
      <c r="AM18" s="283">
        <v>282</v>
      </c>
      <c r="AN18" s="66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1:72" ht="15.75" customHeight="1" x14ac:dyDescent="0.2">
      <c r="A19" s="58" t="s">
        <v>62</v>
      </c>
      <c r="B19" s="205"/>
      <c r="C19" s="13">
        <v>447</v>
      </c>
      <c r="D19" s="13">
        <v>426</v>
      </c>
      <c r="E19" s="13">
        <v>70</v>
      </c>
      <c r="F19" s="13">
        <v>57</v>
      </c>
      <c r="G19" s="13">
        <v>18</v>
      </c>
      <c r="H19" s="13">
        <v>14</v>
      </c>
      <c r="I19" s="13">
        <v>27</v>
      </c>
      <c r="J19" s="13">
        <v>10</v>
      </c>
      <c r="K19" s="205"/>
      <c r="L19" s="243">
        <v>576</v>
      </c>
      <c r="M19" s="26"/>
      <c r="N19" s="225"/>
      <c r="O19" s="225"/>
      <c r="P19" s="225"/>
      <c r="Q19" s="225"/>
      <c r="R19" s="225">
        <v>568</v>
      </c>
      <c r="S19" s="225"/>
      <c r="T19" s="225"/>
      <c r="U19" s="36"/>
      <c r="V19" s="225"/>
      <c r="W19" s="36"/>
      <c r="X19" s="225"/>
      <c r="Y19" s="225"/>
      <c r="Z19" s="36"/>
      <c r="AA19" s="225">
        <v>26</v>
      </c>
      <c r="AB19" s="225">
        <v>85</v>
      </c>
      <c r="AC19" s="225">
        <v>426</v>
      </c>
      <c r="AD19" s="283">
        <v>33</v>
      </c>
      <c r="AE19" s="283">
        <v>48</v>
      </c>
      <c r="AF19" s="283">
        <v>334</v>
      </c>
      <c r="AG19" s="36"/>
      <c r="AH19" s="283">
        <v>490</v>
      </c>
      <c r="AI19" s="66"/>
      <c r="AJ19" s="283">
        <v>487</v>
      </c>
      <c r="AK19" s="66"/>
      <c r="AL19" s="225">
        <v>195</v>
      </c>
      <c r="AM19" s="283">
        <v>391</v>
      </c>
      <c r="AN19" s="66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1:72" ht="15.75" customHeight="1" x14ac:dyDescent="0.2">
      <c r="A20" s="58" t="s">
        <v>56</v>
      </c>
      <c r="B20" s="205"/>
      <c r="C20" s="13">
        <v>307</v>
      </c>
      <c r="D20" s="13">
        <v>291</v>
      </c>
      <c r="E20" s="13">
        <v>44</v>
      </c>
      <c r="F20" s="13">
        <v>32</v>
      </c>
      <c r="G20" s="13">
        <v>7</v>
      </c>
      <c r="H20" s="13">
        <v>5</v>
      </c>
      <c r="I20" s="13">
        <v>20</v>
      </c>
      <c r="J20" s="13">
        <v>12</v>
      </c>
      <c r="K20" s="205"/>
      <c r="L20" s="243">
        <v>390</v>
      </c>
      <c r="M20" s="26"/>
      <c r="N20" s="225"/>
      <c r="O20" s="225"/>
      <c r="P20" s="225"/>
      <c r="Q20" s="225"/>
      <c r="R20" s="225"/>
      <c r="S20" s="225">
        <v>398</v>
      </c>
      <c r="T20" s="225"/>
      <c r="U20" s="36"/>
      <c r="V20" s="225"/>
      <c r="W20" s="36"/>
      <c r="X20" s="225"/>
      <c r="Y20" s="225"/>
      <c r="Z20" s="36"/>
      <c r="AA20" s="283">
        <v>15</v>
      </c>
      <c r="AB20" s="283">
        <v>84</v>
      </c>
      <c r="AC20" s="283">
        <v>205</v>
      </c>
      <c r="AD20" s="283">
        <v>57</v>
      </c>
      <c r="AE20" s="283">
        <v>53</v>
      </c>
      <c r="AF20" s="283">
        <v>236</v>
      </c>
      <c r="AG20" s="36"/>
      <c r="AH20" s="283">
        <v>328</v>
      </c>
      <c r="AI20" s="66"/>
      <c r="AJ20" s="283">
        <v>324</v>
      </c>
      <c r="AK20" s="66"/>
      <c r="AL20" s="283">
        <v>126</v>
      </c>
      <c r="AM20" s="283">
        <v>289</v>
      </c>
      <c r="AN20" s="66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</row>
    <row r="21" spans="1:72" ht="15.75" customHeight="1" x14ac:dyDescent="0.2">
      <c r="A21" s="58" t="s">
        <v>57</v>
      </c>
      <c r="B21" s="205"/>
      <c r="C21" s="13">
        <v>105</v>
      </c>
      <c r="D21" s="13">
        <v>100</v>
      </c>
      <c r="E21" s="13">
        <v>41</v>
      </c>
      <c r="F21" s="13">
        <v>41</v>
      </c>
      <c r="G21" s="13">
        <v>4</v>
      </c>
      <c r="H21" s="13">
        <v>2</v>
      </c>
      <c r="I21" s="13">
        <v>6</v>
      </c>
      <c r="J21" s="13">
        <v>2</v>
      </c>
      <c r="K21" s="205"/>
      <c r="L21" s="243">
        <v>175</v>
      </c>
      <c r="M21" s="26"/>
      <c r="N21" s="225"/>
      <c r="O21" s="225">
        <v>167</v>
      </c>
      <c r="P21" s="225"/>
      <c r="Q21" s="225"/>
      <c r="R21" s="225"/>
      <c r="S21" s="225"/>
      <c r="T21" s="225"/>
      <c r="U21" s="36"/>
      <c r="V21" s="225"/>
      <c r="W21" s="36"/>
      <c r="X21" s="225"/>
      <c r="Y21" s="225"/>
      <c r="Z21" s="36"/>
      <c r="AA21" s="225">
        <v>14</v>
      </c>
      <c r="AB21" s="225">
        <v>43</v>
      </c>
      <c r="AC21" s="225">
        <v>87</v>
      </c>
      <c r="AD21" s="283">
        <v>6</v>
      </c>
      <c r="AE21" s="283">
        <v>27</v>
      </c>
      <c r="AF21" s="283">
        <v>100</v>
      </c>
      <c r="AG21" s="36"/>
      <c r="AH21" s="283">
        <v>135</v>
      </c>
      <c r="AI21" s="66"/>
      <c r="AJ21" s="283">
        <v>132</v>
      </c>
      <c r="AK21" s="66"/>
      <c r="AL21" s="225">
        <v>86</v>
      </c>
      <c r="AM21" s="283">
        <v>95</v>
      </c>
      <c r="AN21" s="66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</row>
    <row r="22" spans="1:72" ht="15.75" customHeight="1" x14ac:dyDescent="0.2">
      <c r="A22" s="58"/>
      <c r="B22" s="205"/>
      <c r="C22" s="13"/>
      <c r="D22" s="13"/>
      <c r="E22" s="13"/>
      <c r="F22" s="13"/>
      <c r="G22" s="13"/>
      <c r="H22" s="13"/>
      <c r="I22" s="13"/>
      <c r="J22" s="13"/>
      <c r="K22" s="205"/>
      <c r="L22" s="243"/>
      <c r="M22" s="26"/>
      <c r="N22" s="225"/>
      <c r="O22" s="225"/>
      <c r="P22" s="225"/>
      <c r="Q22" s="225"/>
      <c r="R22" s="225"/>
      <c r="S22" s="225"/>
      <c r="T22" s="225"/>
      <c r="U22" s="36"/>
      <c r="V22" s="225"/>
      <c r="W22" s="36"/>
      <c r="X22" s="225"/>
      <c r="Y22" s="225"/>
      <c r="Z22" s="36"/>
      <c r="AA22" s="225"/>
      <c r="AB22" s="225"/>
      <c r="AC22" s="225"/>
      <c r="AD22" s="225"/>
      <c r="AE22" s="225"/>
      <c r="AF22" s="225"/>
      <c r="AG22" s="36"/>
      <c r="AH22" s="225"/>
      <c r="AI22" s="66"/>
      <c r="AJ22" s="226"/>
      <c r="AK22" s="66"/>
      <c r="AL22" s="225"/>
      <c r="AM22" s="283"/>
      <c r="AN22" s="66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1:72" ht="15.75" customHeight="1" x14ac:dyDescent="0.2">
      <c r="A23" s="58" t="s">
        <v>58</v>
      </c>
      <c r="B23" s="205"/>
      <c r="C23" s="13">
        <v>189</v>
      </c>
      <c r="D23" s="13">
        <v>167</v>
      </c>
      <c r="E23" s="14">
        <v>124</v>
      </c>
      <c r="F23" s="13">
        <v>97</v>
      </c>
      <c r="G23" s="13">
        <v>7</v>
      </c>
      <c r="H23" s="13">
        <v>6</v>
      </c>
      <c r="I23" s="13">
        <v>16</v>
      </c>
      <c r="J23" s="13">
        <v>5</v>
      </c>
      <c r="K23" s="205"/>
      <c r="L23" s="243">
        <v>319</v>
      </c>
      <c r="M23" s="26"/>
      <c r="N23" s="225"/>
      <c r="O23" s="225"/>
      <c r="P23" s="225">
        <v>302</v>
      </c>
      <c r="Q23" s="225"/>
      <c r="R23" s="225"/>
      <c r="S23" s="225"/>
      <c r="T23" s="225"/>
      <c r="U23" s="36"/>
      <c r="V23" s="225"/>
      <c r="W23" s="36"/>
      <c r="X23" s="225"/>
      <c r="Y23" s="225"/>
      <c r="Z23" s="36"/>
      <c r="AA23" s="283">
        <v>47</v>
      </c>
      <c r="AB23" s="283">
        <v>128</v>
      </c>
      <c r="AC23" s="283">
        <v>190</v>
      </c>
      <c r="AD23" s="283">
        <v>14</v>
      </c>
      <c r="AE23" s="283">
        <v>24</v>
      </c>
      <c r="AF23" s="283">
        <v>155</v>
      </c>
      <c r="AG23" s="36"/>
      <c r="AH23" s="283">
        <v>264</v>
      </c>
      <c r="AI23" s="66"/>
      <c r="AJ23" s="283">
        <v>257</v>
      </c>
      <c r="AK23" s="66"/>
      <c r="AL23" s="283">
        <v>158</v>
      </c>
      <c r="AM23" s="283">
        <v>205</v>
      </c>
      <c r="AN23" s="66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</row>
    <row r="24" spans="1:72" ht="15.75" customHeight="1" x14ac:dyDescent="0.2">
      <c r="A24" s="58" t="s">
        <v>10</v>
      </c>
      <c r="B24" s="205"/>
      <c r="C24" s="13">
        <v>166</v>
      </c>
      <c r="D24" s="13">
        <v>154</v>
      </c>
      <c r="E24" s="13">
        <v>46</v>
      </c>
      <c r="F24" s="13">
        <v>33</v>
      </c>
      <c r="G24" s="13">
        <v>6</v>
      </c>
      <c r="H24" s="13">
        <v>4</v>
      </c>
      <c r="I24" s="13">
        <v>8</v>
      </c>
      <c r="J24" s="13">
        <v>5</v>
      </c>
      <c r="K24" s="205"/>
      <c r="L24" s="243">
        <v>238</v>
      </c>
      <c r="M24" s="26"/>
      <c r="N24" s="225"/>
      <c r="O24" s="225"/>
      <c r="P24" s="225"/>
      <c r="Q24" s="225"/>
      <c r="R24" s="225">
        <v>232</v>
      </c>
      <c r="S24" s="225"/>
      <c r="T24" s="225"/>
      <c r="U24" s="36"/>
      <c r="V24" s="225"/>
      <c r="W24" s="36"/>
      <c r="X24" s="225"/>
      <c r="Y24" s="225"/>
      <c r="Z24" s="36"/>
      <c r="AA24" s="225">
        <v>10</v>
      </c>
      <c r="AB24" s="225">
        <v>86</v>
      </c>
      <c r="AC24" s="225">
        <v>144</v>
      </c>
      <c r="AD24" s="283">
        <v>15</v>
      </c>
      <c r="AE24" s="283">
        <v>16</v>
      </c>
      <c r="AF24" s="283">
        <v>125</v>
      </c>
      <c r="AG24" s="36"/>
      <c r="AH24" s="283">
        <v>202</v>
      </c>
      <c r="AI24" s="66"/>
      <c r="AJ24" s="283">
        <v>196</v>
      </c>
      <c r="AK24" s="66"/>
      <c r="AL24" s="225">
        <v>67</v>
      </c>
      <c r="AM24" s="283">
        <v>177</v>
      </c>
      <c r="AN24" s="66"/>
      <c r="AO24" s="11"/>
      <c r="AP24" s="11" t="s">
        <v>73</v>
      </c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</row>
    <row r="25" spans="1:72" ht="15.75" customHeight="1" x14ac:dyDescent="0.2">
      <c r="A25" s="58"/>
      <c r="B25" s="205"/>
      <c r="C25" s="13"/>
      <c r="D25" s="13"/>
      <c r="E25" s="13"/>
      <c r="F25" s="13"/>
      <c r="G25" s="13"/>
      <c r="H25" s="13"/>
      <c r="I25" s="13"/>
      <c r="J25" s="13"/>
      <c r="K25" s="205"/>
      <c r="L25" s="243"/>
      <c r="M25" s="26"/>
      <c r="N25" s="224"/>
      <c r="O25" s="224"/>
      <c r="P25" s="224"/>
      <c r="Q25" s="224"/>
      <c r="R25" s="224"/>
      <c r="S25" s="3"/>
      <c r="T25" s="3"/>
      <c r="U25" s="29"/>
      <c r="V25" s="3"/>
      <c r="W25" s="29"/>
      <c r="X25" s="3"/>
      <c r="Y25" s="3"/>
      <c r="Z25" s="29"/>
      <c r="AA25" s="3"/>
      <c r="AB25" s="3"/>
      <c r="AC25" s="3"/>
      <c r="AD25" s="3"/>
      <c r="AE25" s="3"/>
      <c r="AF25" s="3"/>
      <c r="AG25" s="29"/>
      <c r="AH25" s="3"/>
      <c r="AI25" s="32"/>
      <c r="AJ25" s="11"/>
      <c r="AK25" s="32"/>
      <c r="AL25" s="13"/>
      <c r="AM25" s="284"/>
      <c r="AN25" s="252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</row>
    <row r="26" spans="1:72" ht="15.75" customHeight="1" x14ac:dyDescent="0.2">
      <c r="A26" s="70" t="s">
        <v>16</v>
      </c>
      <c r="B26" s="216"/>
      <c r="C26" s="243">
        <f t="shared" ref="C26:J26" si="0">SUM(C7:C24)</f>
        <v>3830</v>
      </c>
      <c r="D26" s="224">
        <f t="shared" si="0"/>
        <v>3635</v>
      </c>
      <c r="E26" s="224">
        <f t="shared" si="0"/>
        <v>1328</v>
      </c>
      <c r="F26" s="224">
        <f t="shared" si="0"/>
        <v>1099</v>
      </c>
      <c r="G26" s="224">
        <f t="shared" si="0"/>
        <v>152</v>
      </c>
      <c r="H26" s="224">
        <f t="shared" si="0"/>
        <v>119</v>
      </c>
      <c r="I26" s="224">
        <f t="shared" si="0"/>
        <v>293</v>
      </c>
      <c r="J26" s="224">
        <f t="shared" si="0"/>
        <v>142</v>
      </c>
      <c r="K26" s="216"/>
      <c r="L26" s="243">
        <f>SUM(L7:L24)</f>
        <v>5750</v>
      </c>
      <c r="M26" s="26"/>
      <c r="N26" s="224">
        <f t="shared" ref="N26:T26" si="1">SUM(N7:N24)</f>
        <v>699</v>
      </c>
      <c r="O26" s="224">
        <f t="shared" si="1"/>
        <v>855</v>
      </c>
      <c r="P26" s="224">
        <f t="shared" si="1"/>
        <v>691</v>
      </c>
      <c r="Q26" s="224">
        <f t="shared" si="1"/>
        <v>882</v>
      </c>
      <c r="R26" s="224">
        <f t="shared" si="1"/>
        <v>800</v>
      </c>
      <c r="S26" s="224">
        <f t="shared" si="1"/>
        <v>826</v>
      </c>
      <c r="T26" s="224">
        <f t="shared" si="1"/>
        <v>782</v>
      </c>
      <c r="U26" s="29"/>
      <c r="V26" s="224">
        <f>SUM(V7:V24)</f>
        <v>430</v>
      </c>
      <c r="W26" s="29"/>
      <c r="X26" s="224">
        <f>SUM(X7:X24)</f>
        <v>157</v>
      </c>
      <c r="Y26" s="224">
        <f>SUM(Y7:Y24)</f>
        <v>142</v>
      </c>
      <c r="Z26" s="29"/>
      <c r="AA26" s="224">
        <f>SUM(AA7:AA24)</f>
        <v>499</v>
      </c>
      <c r="AB26" s="224">
        <f t="shared" ref="AB26:AD26" si="2">SUM(AB7:AB24)</f>
        <v>1623</v>
      </c>
      <c r="AC26" s="224">
        <f t="shared" si="2"/>
        <v>3305</v>
      </c>
      <c r="AD26" s="224">
        <f t="shared" si="2"/>
        <v>392</v>
      </c>
      <c r="AE26" s="224">
        <f>SUM(AE7:AE24)</f>
        <v>724</v>
      </c>
      <c r="AF26" s="224">
        <f>SUM(AF7:AF24)</f>
        <v>3247</v>
      </c>
      <c r="AG26" s="29"/>
      <c r="AH26" s="224">
        <f>SUM(AH7:AH24)</f>
        <v>4826</v>
      </c>
      <c r="AI26" s="32"/>
      <c r="AJ26" s="224">
        <f>SUM(AJ7:AJ24)</f>
        <v>4780</v>
      </c>
      <c r="AK26" s="32"/>
      <c r="AL26" s="224">
        <f>SUM(AL7:AL24)</f>
        <v>2547</v>
      </c>
      <c r="AM26" s="285">
        <f>SUM(AM7:AM24)</f>
        <v>3655</v>
      </c>
      <c r="AN26" s="252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</row>
    <row r="27" spans="1:72" ht="15.75" customHeight="1" thickBot="1" x14ac:dyDescent="0.25">
      <c r="A27" s="68"/>
      <c r="B27" s="223"/>
      <c r="C27" s="57"/>
      <c r="D27" s="57"/>
      <c r="E27" s="57"/>
      <c r="F27" s="57"/>
      <c r="G27" s="57"/>
      <c r="H27" s="57"/>
      <c r="I27" s="57"/>
      <c r="J27" s="57"/>
      <c r="K27" s="223"/>
      <c r="L27" s="20"/>
      <c r="M27" s="27"/>
      <c r="N27" s="24"/>
      <c r="O27" s="24"/>
      <c r="P27" s="24"/>
      <c r="Q27" s="24"/>
      <c r="R27" s="24"/>
      <c r="S27" s="23"/>
      <c r="T27" s="23"/>
      <c r="U27" s="30"/>
      <c r="V27" s="23"/>
      <c r="W27" s="30"/>
      <c r="X27" s="23"/>
      <c r="Y27" s="23"/>
      <c r="Z27" s="30"/>
      <c r="AA27" s="23"/>
      <c r="AB27" s="23"/>
      <c r="AC27" s="23"/>
      <c r="AD27" s="23"/>
      <c r="AE27" s="23"/>
      <c r="AF27" s="23"/>
      <c r="AG27" s="30"/>
      <c r="AH27" s="23"/>
      <c r="AI27" s="33"/>
      <c r="AJ27" s="67"/>
      <c r="AK27" s="33"/>
      <c r="AL27" s="57"/>
      <c r="AM27" s="290"/>
      <c r="AN27" s="253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</row>
    <row r="28" spans="1:72" ht="15.75" customHeight="1" x14ac:dyDescent="0.2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28"/>
      <c r="AC28" s="228"/>
      <c r="AD28" s="228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</row>
    <row r="29" spans="1:72" ht="15.75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28"/>
      <c r="AC29" s="228"/>
      <c r="AD29" s="228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</row>
    <row r="30" spans="1:72" ht="15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28"/>
      <c r="AC30" s="228"/>
      <c r="AD30" s="228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</row>
    <row r="31" spans="1:72" ht="15.75" customHeight="1" x14ac:dyDescent="0.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28"/>
      <c r="AC31" s="228"/>
      <c r="AD31" s="228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</row>
    <row r="32" spans="1:72" ht="15.75" customHeight="1" x14ac:dyDescent="0.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11"/>
      <c r="BT32" s="11"/>
    </row>
    <row r="33" spans="1:72" ht="15.75" customHeight="1" x14ac:dyDescent="0.2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</row>
    <row r="34" spans="1:7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</row>
    <row r="35" spans="1:72" x14ac:dyDescent="0.2"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</row>
  </sheetData>
  <mergeCells count="31">
    <mergeCell ref="AA1:AN2"/>
    <mergeCell ref="AJ4:AJ5"/>
    <mergeCell ref="AO3:AS3"/>
    <mergeCell ref="AO4:AP5"/>
    <mergeCell ref="AR4:AS5"/>
    <mergeCell ref="AA3:AN3"/>
    <mergeCell ref="AA4:AF5"/>
    <mergeCell ref="AH4:AH5"/>
    <mergeCell ref="AL4:AM5"/>
    <mergeCell ref="X5:Y5"/>
    <mergeCell ref="BM4:BO5"/>
    <mergeCell ref="BQ4:BR5"/>
    <mergeCell ref="BC4:BC5"/>
    <mergeCell ref="BE4:BF5"/>
    <mergeCell ref="BH4:BK5"/>
    <mergeCell ref="C2:J3"/>
    <mergeCell ref="AU4:AU5"/>
    <mergeCell ref="A1:A5"/>
    <mergeCell ref="C1:Y1"/>
    <mergeCell ref="C4:J4"/>
    <mergeCell ref="C5:D5"/>
    <mergeCell ref="E5:F5"/>
    <mergeCell ref="G5:H5"/>
    <mergeCell ref="I5:J5"/>
    <mergeCell ref="V2:Y2"/>
    <mergeCell ref="L3:L4"/>
    <mergeCell ref="L2:T2"/>
    <mergeCell ref="N3:T3"/>
    <mergeCell ref="N5:T5"/>
    <mergeCell ref="X3:Y3"/>
    <mergeCell ref="X4:Y4"/>
  </mergeCells>
  <phoneticPr fontId="2" type="noConversion"/>
  <printOptions gridLines="1"/>
  <pageMargins left="0.25" right="0.25" top="1.32" bottom="0.12" header="0.4" footer="0.06"/>
  <pageSetup paperSize="5" orientation="landscape" r:id="rId1"/>
  <headerFooter alignWithMargins="0">
    <oddHeader xml:space="preserve">&amp;CGeneral Election
Tuesday, November 6, 2018
Missaukee County, Michigan
Final Official Results
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48"/>
  <sheetViews>
    <sheetView showRuler="0" view="pageLayout" topLeftCell="A13" zoomScaleNormal="115" workbookViewId="0">
      <selection activeCell="AK18" sqref="AK18"/>
    </sheetView>
  </sheetViews>
  <sheetFormatPr defaultColWidth="9.140625" defaultRowHeight="12" x14ac:dyDescent="0.2"/>
  <cols>
    <col min="1" max="1" width="14.5703125" style="98" customWidth="1"/>
    <col min="2" max="2" width="0.5703125" style="257" customWidth="1"/>
    <col min="3" max="5" width="4.7109375" style="98" customWidth="1"/>
    <col min="6" max="6" width="0.5703125" style="98" customWidth="1"/>
    <col min="7" max="10" width="4.7109375" style="98" customWidth="1"/>
    <col min="11" max="11" width="0.5703125" style="98" customWidth="1"/>
    <col min="12" max="13" width="4.7109375" style="257" customWidth="1"/>
    <col min="14" max="14" width="0.5703125" style="98" customWidth="1"/>
    <col min="15" max="16" width="4.7109375" style="98" customWidth="1"/>
    <col min="17" max="17" width="0.5703125" style="98" customWidth="1"/>
    <col min="18" max="19" width="4.85546875" style="98" customWidth="1"/>
    <col min="20" max="20" width="5.7109375" style="98" customWidth="1"/>
    <col min="21" max="21" width="0.5703125" style="98" customWidth="1"/>
    <col min="22" max="24" width="4.7109375" style="98" customWidth="1"/>
    <col min="25" max="25" width="0.5703125" style="98" customWidth="1"/>
    <col min="26" max="27" width="4.7109375" style="98" customWidth="1"/>
    <col min="28" max="28" width="0.5703125" style="98" customWidth="1"/>
    <col min="29" max="29" width="8.85546875" style="98" customWidth="1"/>
    <col min="30" max="30" width="0.5703125" style="98" customWidth="1"/>
    <col min="31" max="32" width="4.7109375" style="98" customWidth="1"/>
    <col min="33" max="33" width="0.5703125" style="98" customWidth="1"/>
    <col min="34" max="35" width="4.7109375" style="98" customWidth="1"/>
    <col min="36" max="36" width="0.5703125" style="98" customWidth="1"/>
    <col min="37" max="38" width="4.7109375" style="98" customWidth="1"/>
    <col min="39" max="39" width="0.5703125" style="98" customWidth="1"/>
    <col min="40" max="41" width="4.7109375" style="132" customWidth="1"/>
    <col min="42" max="42" width="0.5703125" style="132" customWidth="1"/>
    <col min="43" max="44" width="4.7109375" style="132" customWidth="1"/>
    <col min="45" max="45" width="0.5703125" style="132" customWidth="1"/>
    <col min="46" max="47" width="4.7109375" style="132" customWidth="1"/>
    <col min="48" max="48" width="0.5703125" style="132" customWidth="1"/>
    <col min="49" max="49" width="3.7109375" style="132" customWidth="1"/>
    <col min="50" max="50" width="2.85546875" style="132" customWidth="1"/>
    <col min="51" max="51" width="0.5703125" style="132" customWidth="1"/>
    <col min="52" max="52" width="3.85546875" style="132" customWidth="1"/>
    <col min="53" max="53" width="3" style="132" customWidth="1"/>
    <col min="54" max="54" width="0.5703125" style="132" customWidth="1"/>
    <col min="55" max="55" width="4.42578125" style="132" customWidth="1"/>
    <col min="56" max="56" width="3.5703125" style="132" customWidth="1"/>
    <col min="57" max="57" width="0.5703125" style="132" customWidth="1"/>
    <col min="58" max="58" width="7.85546875" style="132" customWidth="1"/>
    <col min="59" max="59" width="0.5703125" style="98" customWidth="1"/>
    <col min="60" max="61" width="4.85546875" style="98" customWidth="1"/>
    <col min="62" max="62" width="0.5703125" style="98" customWidth="1"/>
    <col min="63" max="66" width="4.85546875" style="98" customWidth="1"/>
    <col min="67" max="67" width="0.5703125" style="98" customWidth="1"/>
    <col min="68" max="70" width="4.85546875" style="98" customWidth="1"/>
    <col min="71" max="71" width="0.5703125" style="98" customWidth="1"/>
    <col min="72" max="72" width="4.85546875" style="98" customWidth="1"/>
    <col min="73" max="73" width="4.7109375" style="98" customWidth="1"/>
    <col min="74" max="74" width="0.5703125" style="98" customWidth="1"/>
    <col min="75" max="75" width="3.28515625" style="98" customWidth="1"/>
    <col min="76" max="76" width="3.140625" style="98" customWidth="1"/>
    <col min="77" max="77" width="3.28515625" style="98" customWidth="1"/>
    <col min="78" max="78" width="3" style="98" customWidth="1"/>
    <col min="79" max="79" width="3.85546875" style="98" customWidth="1"/>
    <col min="80" max="80" width="3.28515625" style="98" customWidth="1"/>
    <col min="81" max="81" width="3.42578125" style="98" customWidth="1"/>
    <col min="82" max="82" width="3" style="98" customWidth="1"/>
    <col min="83" max="83" width="3.42578125" style="98" customWidth="1"/>
    <col min="84" max="84" width="2.7109375" style="98" customWidth="1"/>
    <col min="85" max="85" width="3.85546875" style="98" customWidth="1"/>
    <col min="86" max="86" width="4.28515625" style="98" customWidth="1"/>
    <col min="87" max="87" width="4.7109375" style="98" customWidth="1"/>
    <col min="88" max="88" width="5.28515625" style="98" customWidth="1"/>
    <col min="89" max="89" width="6" style="98" customWidth="1"/>
    <col min="90" max="90" width="4.42578125" style="98" customWidth="1"/>
    <col min="91" max="91" width="5.28515625" style="98" customWidth="1"/>
    <col min="92" max="92" width="4.28515625" style="98" customWidth="1"/>
    <col min="93" max="93" width="5.140625" style="98" customWidth="1"/>
    <col min="94" max="94" width="4.28515625" style="98" customWidth="1"/>
    <col min="95" max="95" width="5" style="98" customWidth="1"/>
    <col min="96" max="96" width="4.7109375" style="98" customWidth="1"/>
    <col min="97" max="97" width="4.5703125" style="98" customWidth="1"/>
    <col min="98" max="98" width="5" style="98" customWidth="1"/>
    <col min="99" max="99" width="4.5703125" style="98" customWidth="1"/>
    <col min="100" max="100" width="5.28515625" style="98" customWidth="1"/>
    <col min="101" max="101" width="4" style="98" customWidth="1"/>
    <col min="102" max="103" width="3.85546875" style="98" customWidth="1"/>
    <col min="104" max="104" width="4.28515625" style="98" customWidth="1"/>
    <col min="105" max="106" width="4.7109375" style="98" customWidth="1"/>
    <col min="107" max="107" width="3.7109375" style="98" customWidth="1"/>
    <col min="108" max="108" width="4.5703125" style="98" customWidth="1"/>
    <col min="109" max="109" width="4.7109375" style="98" customWidth="1"/>
    <col min="110" max="110" width="3.85546875" style="98" customWidth="1"/>
    <col min="111" max="111" width="5.140625" style="98" customWidth="1"/>
    <col min="112" max="112" width="3.7109375" style="98" customWidth="1"/>
    <col min="113" max="114" width="4.28515625" style="98" customWidth="1"/>
    <col min="115" max="115" width="4.42578125" style="98" customWidth="1"/>
    <col min="116" max="16384" width="9.140625" style="98"/>
  </cols>
  <sheetData>
    <row r="1" spans="1:117" ht="12" customHeight="1" x14ac:dyDescent="0.2">
      <c r="A1" s="439"/>
      <c r="B1" s="266"/>
      <c r="C1" s="393" t="s">
        <v>200</v>
      </c>
      <c r="D1" s="394"/>
      <c r="E1" s="394"/>
      <c r="F1" s="394"/>
      <c r="G1" s="394"/>
      <c r="H1" s="394"/>
      <c r="I1" s="394"/>
      <c r="J1" s="394"/>
      <c r="K1" s="394"/>
      <c r="L1" s="394"/>
      <c r="M1" s="394"/>
      <c r="N1" s="394"/>
      <c r="O1" s="394"/>
      <c r="P1" s="394"/>
      <c r="Q1" s="394"/>
      <c r="R1" s="394"/>
      <c r="S1" s="394"/>
      <c r="T1" s="394"/>
      <c r="U1" s="394"/>
      <c r="V1" s="394"/>
      <c r="W1" s="394"/>
      <c r="X1" s="394"/>
      <c r="Y1" s="394"/>
      <c r="Z1" s="394"/>
      <c r="AA1" s="394"/>
      <c r="AB1" s="394"/>
      <c r="AC1" s="394"/>
      <c r="AD1" s="394"/>
      <c r="AE1" s="394"/>
      <c r="AF1" s="394"/>
      <c r="AG1" s="394"/>
      <c r="AH1" s="394"/>
      <c r="AI1" s="394"/>
      <c r="AJ1" s="394"/>
      <c r="AK1" s="394"/>
      <c r="AL1" s="394"/>
      <c r="AM1" s="395"/>
      <c r="AN1" s="100"/>
      <c r="AO1" s="100"/>
      <c r="AP1" s="100"/>
      <c r="AQ1" s="100"/>
      <c r="AR1" s="100"/>
      <c r="AS1" s="100"/>
      <c r="AT1" s="234"/>
      <c r="AU1" s="234"/>
      <c r="AV1" s="234"/>
      <c r="AW1" s="234"/>
      <c r="AX1" s="234"/>
      <c r="AY1" s="234"/>
      <c r="AZ1" s="234"/>
      <c r="BA1" s="234"/>
      <c r="BB1" s="234"/>
      <c r="BC1" s="234"/>
      <c r="BD1" s="234"/>
      <c r="BE1" s="261"/>
      <c r="BF1" s="100"/>
      <c r="BG1" s="93"/>
      <c r="BH1" s="93"/>
      <c r="BI1" s="93"/>
      <c r="BJ1" s="93"/>
      <c r="BK1" s="93"/>
      <c r="BL1" s="93"/>
      <c r="BM1" s="93"/>
      <c r="BN1" s="93"/>
      <c r="BO1" s="93"/>
      <c r="BP1" s="93"/>
      <c r="BQ1" s="93"/>
      <c r="BR1" s="93"/>
      <c r="BS1" s="93"/>
      <c r="BT1" s="93"/>
      <c r="BU1" s="93"/>
      <c r="BV1" s="93"/>
      <c r="BW1" s="93"/>
      <c r="BX1" s="93"/>
      <c r="BY1" s="93"/>
      <c r="BZ1" s="93"/>
      <c r="CA1" s="93"/>
      <c r="CB1" s="93"/>
      <c r="CC1" s="93"/>
      <c r="CD1" s="93"/>
      <c r="CE1" s="93"/>
      <c r="CF1" s="93"/>
      <c r="CG1" s="93"/>
      <c r="CH1" s="94"/>
      <c r="CI1" s="95"/>
      <c r="CJ1" s="96"/>
      <c r="CK1" s="95"/>
      <c r="CL1" s="95"/>
      <c r="CM1" s="95"/>
      <c r="CN1" s="437"/>
      <c r="CO1" s="438"/>
      <c r="CP1" s="438"/>
      <c r="CQ1" s="418"/>
      <c r="CR1" s="418"/>
      <c r="CS1" s="418"/>
      <c r="CT1" s="418"/>
      <c r="CU1" s="418"/>
      <c r="CV1" s="418"/>
      <c r="CW1" s="418"/>
      <c r="CX1" s="418"/>
      <c r="CY1" s="418"/>
      <c r="CZ1" s="418"/>
      <c r="DA1" s="418"/>
      <c r="DB1" s="418"/>
      <c r="DC1" s="418"/>
      <c r="DD1" s="418"/>
      <c r="DE1" s="418"/>
      <c r="DF1" s="418"/>
      <c r="DG1" s="418"/>
      <c r="DH1" s="418"/>
      <c r="DI1" s="418"/>
      <c r="DJ1" s="418"/>
      <c r="DK1" s="418"/>
      <c r="DL1" s="97"/>
      <c r="DM1" s="97"/>
    </row>
    <row r="2" spans="1:117" ht="24" customHeight="1" x14ac:dyDescent="0.2">
      <c r="A2" s="440"/>
      <c r="B2" s="267"/>
      <c r="C2" s="402" t="s">
        <v>120</v>
      </c>
      <c r="D2" s="403"/>
      <c r="E2" s="403"/>
      <c r="F2" s="254"/>
      <c r="G2" s="412" t="s">
        <v>76</v>
      </c>
      <c r="H2" s="412"/>
      <c r="I2" s="412"/>
      <c r="J2" s="412"/>
      <c r="K2" s="99"/>
      <c r="L2" s="396" t="s">
        <v>124</v>
      </c>
      <c r="M2" s="397"/>
      <c r="N2" s="397"/>
      <c r="O2" s="397"/>
      <c r="P2" s="397"/>
      <c r="Q2" s="397"/>
      <c r="R2" s="397"/>
      <c r="S2" s="397"/>
      <c r="T2" s="397"/>
      <c r="U2" s="397"/>
      <c r="V2" s="397"/>
      <c r="W2" s="397"/>
      <c r="X2" s="397"/>
      <c r="Y2" s="397"/>
      <c r="Z2" s="397"/>
      <c r="AA2" s="397"/>
      <c r="AB2" s="397"/>
      <c r="AC2" s="408"/>
      <c r="AD2" s="99"/>
      <c r="AE2" s="396" t="s">
        <v>70</v>
      </c>
      <c r="AF2" s="397"/>
      <c r="AG2" s="397"/>
      <c r="AH2" s="397"/>
      <c r="AI2" s="397"/>
      <c r="AJ2" s="397"/>
      <c r="AK2" s="397"/>
      <c r="AL2" s="397"/>
      <c r="AM2" s="398"/>
      <c r="AN2" s="101"/>
      <c r="AO2" s="101"/>
      <c r="AP2" s="101"/>
      <c r="AQ2" s="101"/>
      <c r="AR2" s="101"/>
      <c r="AS2" s="101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93"/>
      <c r="BR2" s="93"/>
      <c r="BS2" s="93"/>
      <c r="BT2" s="93"/>
      <c r="BU2" s="93"/>
      <c r="BV2" s="101"/>
      <c r="BW2" s="437"/>
      <c r="BX2" s="438"/>
      <c r="BY2" s="438"/>
      <c r="BZ2" s="438"/>
      <c r="CA2" s="438"/>
      <c r="CB2" s="438"/>
      <c r="CC2" s="438"/>
      <c r="CD2" s="438"/>
      <c r="CE2" s="438"/>
      <c r="CF2" s="438"/>
      <c r="CG2" s="438"/>
      <c r="CH2" s="438"/>
      <c r="CI2" s="95"/>
      <c r="CJ2" s="95"/>
      <c r="CK2" s="95"/>
      <c r="CL2" s="95"/>
      <c r="CM2" s="95"/>
      <c r="CN2" s="438"/>
      <c r="CO2" s="438"/>
      <c r="CP2" s="437"/>
      <c r="CQ2" s="437"/>
      <c r="CR2" s="437"/>
      <c r="CS2" s="437"/>
      <c r="CT2" s="437"/>
      <c r="CU2" s="437"/>
      <c r="CV2" s="437"/>
      <c r="CW2" s="437"/>
      <c r="CX2" s="437"/>
      <c r="CY2" s="437"/>
      <c r="CZ2" s="437"/>
      <c r="DA2" s="437"/>
      <c r="DB2" s="437"/>
      <c r="DC2" s="437"/>
      <c r="DD2" s="437"/>
      <c r="DE2" s="437"/>
      <c r="DF2" s="437"/>
      <c r="DG2" s="437"/>
      <c r="DH2" s="437"/>
      <c r="DI2" s="437"/>
      <c r="DJ2" s="437"/>
      <c r="DK2" s="437"/>
      <c r="DL2" s="97"/>
      <c r="DM2" s="97"/>
    </row>
    <row r="3" spans="1:117" ht="21" customHeight="1" x14ac:dyDescent="0.2">
      <c r="A3" s="440"/>
      <c r="B3" s="267"/>
      <c r="C3" s="413" t="s">
        <v>77</v>
      </c>
      <c r="D3" s="414"/>
      <c r="E3" s="414"/>
      <c r="F3" s="102"/>
      <c r="G3" s="423" t="s">
        <v>75</v>
      </c>
      <c r="H3" s="424"/>
      <c r="I3" s="424"/>
      <c r="J3" s="425"/>
      <c r="K3" s="99"/>
      <c r="L3" s="404" t="s">
        <v>201</v>
      </c>
      <c r="M3" s="405"/>
      <c r="N3" s="99"/>
      <c r="O3" s="431" t="s">
        <v>125</v>
      </c>
      <c r="P3" s="432"/>
      <c r="Q3" s="103"/>
      <c r="R3" s="417" t="s">
        <v>45</v>
      </c>
      <c r="S3" s="418"/>
      <c r="T3" s="418"/>
      <c r="U3" s="104"/>
      <c r="V3" s="417" t="s">
        <v>27</v>
      </c>
      <c r="W3" s="418"/>
      <c r="X3" s="418"/>
      <c r="Y3" s="104"/>
      <c r="Z3" s="399" t="s">
        <v>10</v>
      </c>
      <c r="AA3" s="400"/>
      <c r="AB3" s="400"/>
      <c r="AC3" s="411"/>
      <c r="AD3" s="99"/>
      <c r="AE3" s="399" t="s">
        <v>28</v>
      </c>
      <c r="AF3" s="400"/>
      <c r="AG3" s="400"/>
      <c r="AH3" s="400"/>
      <c r="AI3" s="400"/>
      <c r="AJ3" s="400"/>
      <c r="AK3" s="400"/>
      <c r="AL3" s="400"/>
      <c r="AM3" s="401"/>
      <c r="AN3" s="100"/>
      <c r="AO3" s="100"/>
      <c r="AP3" s="100"/>
      <c r="AQ3" s="100"/>
      <c r="AR3" s="100"/>
      <c r="AS3" s="239"/>
      <c r="AT3" s="100"/>
      <c r="AU3" s="100"/>
      <c r="AV3" s="242"/>
      <c r="AW3" s="242"/>
      <c r="AX3" s="242"/>
      <c r="AY3" s="242"/>
      <c r="AZ3" s="242"/>
      <c r="BA3" s="242"/>
      <c r="BB3" s="239"/>
      <c r="BC3" s="242"/>
      <c r="BD3" s="242"/>
      <c r="BE3" s="239"/>
      <c r="BF3" s="442"/>
      <c r="BG3" s="105"/>
      <c r="BH3" s="442"/>
      <c r="BI3" s="442"/>
      <c r="BJ3" s="105"/>
      <c r="BK3" s="430"/>
      <c r="BL3" s="430"/>
      <c r="BM3" s="430"/>
      <c r="BN3" s="430"/>
      <c r="BO3" s="106"/>
      <c r="BP3" s="430"/>
      <c r="BQ3" s="430"/>
      <c r="BR3" s="430"/>
      <c r="BS3" s="106"/>
      <c r="BT3" s="430"/>
      <c r="BU3" s="430"/>
      <c r="BV3" s="106"/>
      <c r="BW3" s="445"/>
      <c r="BX3" s="445"/>
      <c r="BY3" s="445"/>
      <c r="BZ3" s="445"/>
      <c r="CA3" s="429"/>
      <c r="CB3" s="429"/>
      <c r="CC3" s="429"/>
      <c r="CD3" s="429"/>
      <c r="CE3" s="429"/>
      <c r="CF3" s="429"/>
      <c r="CG3" s="107"/>
      <c r="CH3" s="107"/>
      <c r="CI3" s="108"/>
      <c r="CJ3" s="436"/>
      <c r="CK3" s="436"/>
      <c r="CL3" s="436"/>
      <c r="CM3" s="436"/>
      <c r="CN3" s="436"/>
      <c r="CO3" s="436"/>
      <c r="CP3" s="436"/>
      <c r="CQ3" s="436"/>
      <c r="CR3" s="436"/>
      <c r="CS3" s="436"/>
      <c r="CT3" s="436"/>
      <c r="CU3" s="436"/>
      <c r="CV3" s="436"/>
      <c r="CW3" s="436"/>
      <c r="CX3" s="418"/>
      <c r="CY3" s="418"/>
      <c r="CZ3" s="418"/>
      <c r="DA3" s="418"/>
      <c r="DB3" s="418"/>
      <c r="DC3" s="418"/>
      <c r="DD3" s="418"/>
      <c r="DE3" s="418"/>
      <c r="DF3" s="418"/>
      <c r="DG3" s="418"/>
      <c r="DH3" s="418"/>
      <c r="DI3" s="418"/>
      <c r="DJ3" s="418"/>
      <c r="DK3" s="418"/>
      <c r="DL3" s="97"/>
      <c r="DM3" s="97"/>
    </row>
    <row r="4" spans="1:117" ht="24" customHeight="1" x14ac:dyDescent="0.2">
      <c r="A4" s="441"/>
      <c r="B4" s="268"/>
      <c r="C4" s="415"/>
      <c r="D4" s="416"/>
      <c r="E4" s="416"/>
      <c r="F4" s="109"/>
      <c r="G4" s="426"/>
      <c r="H4" s="427"/>
      <c r="I4" s="427"/>
      <c r="J4" s="428"/>
      <c r="K4" s="99"/>
      <c r="L4" s="406"/>
      <c r="M4" s="407"/>
      <c r="N4" s="99"/>
      <c r="O4" s="409"/>
      <c r="P4" s="433"/>
      <c r="Q4" s="103"/>
      <c r="R4" s="419"/>
      <c r="S4" s="420"/>
      <c r="T4" s="420"/>
      <c r="U4" s="110"/>
      <c r="V4" s="419"/>
      <c r="W4" s="420"/>
      <c r="X4" s="420"/>
      <c r="Y4" s="110"/>
      <c r="Z4" s="409" t="s">
        <v>133</v>
      </c>
      <c r="AA4" s="410"/>
      <c r="AB4" s="191"/>
      <c r="AC4" s="237" t="s">
        <v>132</v>
      </c>
      <c r="AD4" s="259"/>
      <c r="AE4" s="443" t="s">
        <v>137</v>
      </c>
      <c r="AF4" s="444"/>
      <c r="AG4" s="111"/>
      <c r="AH4" s="421" t="s">
        <v>138</v>
      </c>
      <c r="AI4" s="422"/>
      <c r="AJ4" s="189"/>
      <c r="AK4" s="421" t="s">
        <v>139</v>
      </c>
      <c r="AL4" s="422"/>
      <c r="AM4" s="280"/>
      <c r="AN4" s="434"/>
      <c r="AO4" s="434"/>
      <c r="AP4" s="100"/>
      <c r="AQ4" s="434"/>
      <c r="AR4" s="434"/>
      <c r="AS4" s="239"/>
      <c r="AT4" s="430"/>
      <c r="AU4" s="430"/>
      <c r="AV4" s="242"/>
      <c r="AW4" s="434"/>
      <c r="AX4" s="434"/>
      <c r="AY4" s="242"/>
      <c r="AZ4" s="434"/>
      <c r="BA4" s="434"/>
      <c r="BB4" s="239"/>
      <c r="BC4" s="430"/>
      <c r="BD4" s="430"/>
      <c r="BE4" s="239"/>
      <c r="BF4" s="442"/>
      <c r="BG4" s="105"/>
      <c r="BH4" s="442"/>
      <c r="BI4" s="442"/>
      <c r="BJ4" s="105"/>
      <c r="BK4" s="430"/>
      <c r="BL4" s="430"/>
      <c r="BM4" s="430"/>
      <c r="BN4" s="430"/>
      <c r="BO4" s="106"/>
      <c r="BP4" s="430"/>
      <c r="BQ4" s="430"/>
      <c r="BR4" s="430"/>
      <c r="BS4" s="106"/>
      <c r="BT4" s="430"/>
      <c r="BU4" s="430"/>
      <c r="BV4" s="106"/>
      <c r="BW4" s="430"/>
      <c r="BX4" s="430"/>
      <c r="BY4" s="430"/>
      <c r="BZ4" s="430"/>
      <c r="CA4" s="418"/>
      <c r="CB4" s="418"/>
      <c r="CC4" s="418"/>
      <c r="CD4" s="418"/>
      <c r="CE4" s="418"/>
      <c r="CF4" s="418"/>
      <c r="CG4" s="435"/>
      <c r="CH4" s="435"/>
      <c r="CI4" s="112"/>
      <c r="CJ4" s="435"/>
      <c r="CK4" s="435"/>
      <c r="CL4" s="435"/>
      <c r="CM4" s="435"/>
      <c r="CN4" s="113"/>
      <c r="CO4" s="113"/>
      <c r="CP4" s="113"/>
      <c r="CQ4" s="113"/>
      <c r="CR4" s="114"/>
      <c r="CS4" s="114"/>
      <c r="CT4" s="114"/>
      <c r="CU4" s="114"/>
      <c r="CV4" s="114"/>
      <c r="CW4" s="113"/>
      <c r="CX4" s="95"/>
      <c r="CY4" s="97"/>
      <c r="CZ4" s="97"/>
      <c r="DA4" s="97"/>
      <c r="DB4" s="97"/>
      <c r="DC4" s="97"/>
      <c r="DD4" s="97"/>
      <c r="DE4" s="97"/>
      <c r="DF4" s="97"/>
      <c r="DG4" s="97"/>
      <c r="DH4" s="97"/>
      <c r="DI4" s="97"/>
      <c r="DJ4" s="97"/>
      <c r="DK4" s="97"/>
      <c r="DL4" s="97"/>
      <c r="DM4" s="97"/>
    </row>
    <row r="5" spans="1:117" ht="51" customHeight="1" x14ac:dyDescent="0.2">
      <c r="A5" s="115" t="s">
        <v>115</v>
      </c>
      <c r="B5" s="269"/>
      <c r="C5" s="116" t="s">
        <v>121</v>
      </c>
      <c r="D5" s="117" t="s">
        <v>122</v>
      </c>
      <c r="E5" s="117" t="s">
        <v>123</v>
      </c>
      <c r="F5" s="118"/>
      <c r="G5" s="116" t="s">
        <v>197</v>
      </c>
      <c r="H5" s="116" t="s">
        <v>117</v>
      </c>
      <c r="I5" s="119" t="s">
        <v>118</v>
      </c>
      <c r="J5" s="120" t="s">
        <v>119</v>
      </c>
      <c r="K5" s="121"/>
      <c r="L5" s="120" t="s">
        <v>131</v>
      </c>
      <c r="M5" s="120" t="s">
        <v>36</v>
      </c>
      <c r="N5" s="121"/>
      <c r="O5" s="122" t="s">
        <v>198</v>
      </c>
      <c r="P5" s="122" t="s">
        <v>199</v>
      </c>
      <c r="Q5" s="118"/>
      <c r="R5" s="122" t="s">
        <v>126</v>
      </c>
      <c r="S5" s="117" t="s">
        <v>127</v>
      </c>
      <c r="T5" s="117" t="s">
        <v>128</v>
      </c>
      <c r="U5" s="118"/>
      <c r="V5" s="122" t="s">
        <v>129</v>
      </c>
      <c r="W5" s="117" t="s">
        <v>140</v>
      </c>
      <c r="X5" s="117" t="s">
        <v>130</v>
      </c>
      <c r="Y5" s="118"/>
      <c r="Z5" s="258" t="s">
        <v>135</v>
      </c>
      <c r="AA5" s="122" t="s">
        <v>136</v>
      </c>
      <c r="AB5" s="188"/>
      <c r="AC5" s="116" t="s">
        <v>134</v>
      </c>
      <c r="AD5" s="123"/>
      <c r="AE5" s="125" t="s">
        <v>71</v>
      </c>
      <c r="AF5" s="124" t="s">
        <v>72</v>
      </c>
      <c r="AG5" s="121"/>
      <c r="AH5" s="125" t="s">
        <v>71</v>
      </c>
      <c r="AI5" s="124" t="s">
        <v>72</v>
      </c>
      <c r="AJ5" s="189"/>
      <c r="AK5" s="125" t="s">
        <v>71</v>
      </c>
      <c r="AL5" s="124" t="s">
        <v>72</v>
      </c>
      <c r="AM5" s="280"/>
      <c r="AN5" s="100"/>
      <c r="AO5" s="100"/>
      <c r="AP5" s="100"/>
      <c r="AQ5" s="100"/>
      <c r="AR5" s="100"/>
      <c r="AS5" s="101"/>
      <c r="AT5" s="100"/>
      <c r="AU5" s="100"/>
      <c r="AV5" s="126"/>
      <c r="AW5" s="100"/>
      <c r="AX5" s="100"/>
      <c r="AY5" s="126"/>
      <c r="AZ5" s="100"/>
      <c r="BA5" s="100"/>
      <c r="BB5" s="126"/>
      <c r="BC5" s="100"/>
      <c r="BD5" s="100"/>
      <c r="BE5" s="126"/>
      <c r="BF5" s="126"/>
      <c r="BG5" s="126"/>
      <c r="BH5" s="126"/>
      <c r="BI5" s="126"/>
      <c r="BJ5" s="126"/>
      <c r="BK5" s="126"/>
      <c r="BL5" s="126"/>
      <c r="BM5" s="126"/>
      <c r="BN5" s="126"/>
      <c r="BO5" s="126"/>
      <c r="BP5" s="126"/>
      <c r="BQ5" s="126"/>
      <c r="BR5" s="126"/>
      <c r="BS5" s="126"/>
      <c r="BT5" s="126"/>
      <c r="BU5" s="126"/>
      <c r="BV5" s="127"/>
      <c r="BW5" s="127"/>
      <c r="BX5" s="127"/>
      <c r="BY5" s="127"/>
      <c r="BZ5" s="127"/>
      <c r="CA5" s="128"/>
      <c r="CB5" s="128"/>
      <c r="CC5" s="128"/>
      <c r="CD5" s="128"/>
      <c r="CE5" s="128"/>
      <c r="CF5" s="128"/>
      <c r="CG5" s="128"/>
      <c r="CH5" s="128"/>
      <c r="CI5" s="93"/>
      <c r="CJ5" s="93"/>
      <c r="CK5" s="93"/>
      <c r="CL5" s="93"/>
      <c r="CM5" s="93"/>
      <c r="CN5" s="93"/>
      <c r="CO5" s="93"/>
      <c r="CP5" s="93"/>
      <c r="CQ5" s="129"/>
      <c r="CR5" s="129"/>
      <c r="CS5" s="129"/>
      <c r="CT5" s="129"/>
      <c r="CU5" s="129"/>
      <c r="CV5" s="129"/>
      <c r="CW5" s="128"/>
      <c r="CX5" s="128"/>
      <c r="CY5" s="127"/>
      <c r="CZ5" s="127"/>
      <c r="DA5" s="127"/>
      <c r="DB5" s="127"/>
      <c r="DC5" s="127"/>
      <c r="DD5" s="127"/>
      <c r="DE5" s="127"/>
      <c r="DF5" s="127"/>
      <c r="DG5" s="126"/>
      <c r="DH5" s="126"/>
      <c r="DI5" s="126"/>
      <c r="DJ5" s="126"/>
      <c r="DK5" s="126"/>
      <c r="DL5" s="97"/>
      <c r="DM5" s="97"/>
    </row>
    <row r="6" spans="1:117" ht="15.75" customHeight="1" x14ac:dyDescent="0.2">
      <c r="A6" s="130" t="s">
        <v>0</v>
      </c>
      <c r="B6" s="270"/>
      <c r="C6" s="235">
        <v>42</v>
      </c>
      <c r="D6" s="236">
        <v>49</v>
      </c>
      <c r="E6" s="236">
        <v>45</v>
      </c>
      <c r="F6" s="135"/>
      <c r="G6" s="240">
        <v>10</v>
      </c>
      <c r="H6" s="240">
        <v>11</v>
      </c>
      <c r="I6" s="240">
        <v>11</v>
      </c>
      <c r="J6" s="240">
        <v>6</v>
      </c>
      <c r="K6" s="135"/>
      <c r="L6" s="100">
        <v>15</v>
      </c>
      <c r="M6" s="100">
        <v>14</v>
      </c>
      <c r="N6" s="135"/>
      <c r="O6" s="240">
        <v>10</v>
      </c>
      <c r="P6" s="240">
        <v>7</v>
      </c>
      <c r="Q6" s="135"/>
      <c r="R6" s="240">
        <v>35</v>
      </c>
      <c r="S6" s="240">
        <v>42</v>
      </c>
      <c r="T6" s="240">
        <v>21</v>
      </c>
      <c r="U6" s="135"/>
      <c r="V6" s="240"/>
      <c r="W6" s="240"/>
      <c r="X6" s="240"/>
      <c r="Y6" s="135"/>
      <c r="Z6" s="100">
        <v>87</v>
      </c>
      <c r="AA6" s="240">
        <v>70</v>
      </c>
      <c r="AB6" s="189"/>
      <c r="AC6" s="240">
        <v>93</v>
      </c>
      <c r="AD6" s="135"/>
      <c r="AE6" s="240">
        <v>58</v>
      </c>
      <c r="AF6" s="240">
        <v>134</v>
      </c>
      <c r="AG6" s="135"/>
      <c r="AH6" s="240">
        <v>58</v>
      </c>
      <c r="AI6" s="240">
        <v>130</v>
      </c>
      <c r="AJ6" s="189"/>
      <c r="AK6" s="240">
        <v>80</v>
      </c>
      <c r="AL6" s="240">
        <v>107</v>
      </c>
      <c r="AM6" s="28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G6" s="132"/>
      <c r="BH6" s="132"/>
      <c r="BI6" s="132"/>
      <c r="BJ6" s="132"/>
      <c r="BK6" s="132"/>
      <c r="BL6" s="132"/>
      <c r="BM6" s="132"/>
      <c r="BN6" s="132"/>
      <c r="BO6" s="132"/>
      <c r="BP6" s="132"/>
      <c r="BQ6" s="132"/>
      <c r="BR6" s="132"/>
      <c r="BS6" s="132"/>
      <c r="BT6" s="132"/>
      <c r="BU6" s="132"/>
      <c r="BV6" s="132"/>
      <c r="BW6" s="132"/>
      <c r="BX6" s="132"/>
      <c r="BY6" s="132"/>
      <c r="BZ6" s="132"/>
      <c r="CA6" s="97"/>
      <c r="CB6" s="97"/>
      <c r="CC6" s="97"/>
      <c r="CD6" s="97"/>
      <c r="CE6" s="97"/>
      <c r="CF6" s="97"/>
      <c r="CG6" s="97"/>
      <c r="CH6" s="97"/>
      <c r="CI6" s="97"/>
      <c r="CJ6" s="97"/>
      <c r="CK6" s="97"/>
      <c r="CL6" s="97"/>
      <c r="CM6" s="97"/>
      <c r="CN6" s="97"/>
      <c r="CO6" s="97"/>
      <c r="CP6" s="97"/>
      <c r="CQ6" s="97"/>
      <c r="CR6" s="97"/>
      <c r="CS6" s="97"/>
      <c r="CT6" s="97"/>
      <c r="CU6" s="97"/>
      <c r="CV6" s="97"/>
      <c r="CW6" s="97"/>
      <c r="CX6" s="97"/>
      <c r="CY6" s="97"/>
      <c r="CZ6" s="97"/>
      <c r="DA6" s="97"/>
      <c r="DB6" s="97"/>
      <c r="DC6" s="97"/>
      <c r="DD6" s="97"/>
      <c r="DE6" s="97"/>
      <c r="DF6" s="97"/>
      <c r="DG6" s="97"/>
      <c r="DH6" s="97"/>
      <c r="DI6" s="97"/>
      <c r="DJ6" s="97"/>
      <c r="DK6" s="97"/>
      <c r="DL6" s="97"/>
      <c r="DM6" s="97"/>
    </row>
    <row r="7" spans="1:117" ht="15.75" customHeight="1" x14ac:dyDescent="0.2">
      <c r="A7" s="130" t="s">
        <v>46</v>
      </c>
      <c r="B7" s="270"/>
      <c r="C7" s="241"/>
      <c r="D7" s="240"/>
      <c r="E7" s="240"/>
      <c r="F7" s="135"/>
      <c r="G7" s="240"/>
      <c r="H7" s="240"/>
      <c r="I7" s="240"/>
      <c r="J7" s="240"/>
      <c r="K7" s="135"/>
      <c r="L7" s="100"/>
      <c r="M7" s="100"/>
      <c r="N7" s="135"/>
      <c r="O7" s="240"/>
      <c r="P7" s="240"/>
      <c r="Q7" s="135"/>
      <c r="R7" s="240">
        <v>50</v>
      </c>
      <c r="S7" s="240">
        <v>44</v>
      </c>
      <c r="T7" s="240">
        <v>30</v>
      </c>
      <c r="U7" s="135"/>
      <c r="V7" s="240">
        <v>127</v>
      </c>
      <c r="W7" s="240">
        <v>74</v>
      </c>
      <c r="X7" s="240">
        <v>55</v>
      </c>
      <c r="Y7" s="135"/>
      <c r="Z7" s="100"/>
      <c r="AA7" s="240"/>
      <c r="AB7" s="189"/>
      <c r="AC7" s="240"/>
      <c r="AD7" s="135"/>
      <c r="AE7" s="240">
        <v>130</v>
      </c>
      <c r="AF7" s="240">
        <v>130</v>
      </c>
      <c r="AG7" s="135"/>
      <c r="AH7" s="240">
        <v>122</v>
      </c>
      <c r="AI7" s="240">
        <v>136</v>
      </c>
      <c r="AJ7" s="189"/>
      <c r="AK7" s="240">
        <v>142</v>
      </c>
      <c r="AL7" s="240">
        <v>117</v>
      </c>
      <c r="AM7" s="28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G7" s="132"/>
      <c r="BH7" s="132"/>
      <c r="BI7" s="132"/>
      <c r="BJ7" s="132"/>
      <c r="BK7" s="132"/>
      <c r="BL7" s="132"/>
      <c r="BM7" s="132"/>
      <c r="BN7" s="132"/>
      <c r="BO7" s="132"/>
      <c r="BP7" s="132"/>
      <c r="BQ7" s="132"/>
      <c r="BR7" s="132"/>
      <c r="BS7" s="132"/>
      <c r="BT7" s="132"/>
      <c r="BU7" s="132"/>
      <c r="BV7" s="132"/>
      <c r="BW7" s="132"/>
      <c r="BX7" s="132"/>
      <c r="BY7" s="132"/>
      <c r="BZ7" s="132"/>
      <c r="CA7" s="97"/>
      <c r="CB7" s="97"/>
      <c r="CC7" s="97"/>
      <c r="CD7" s="97"/>
      <c r="CE7" s="97"/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/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/>
      <c r="DL7" s="97"/>
      <c r="DM7" s="97"/>
    </row>
    <row r="8" spans="1:117" ht="15.75" customHeight="1" x14ac:dyDescent="0.2">
      <c r="A8" s="130" t="s">
        <v>47</v>
      </c>
      <c r="B8" s="270"/>
      <c r="C8" s="241">
        <v>99</v>
      </c>
      <c r="D8" s="240">
        <v>121</v>
      </c>
      <c r="E8" s="240">
        <v>95</v>
      </c>
      <c r="F8" s="135"/>
      <c r="G8" s="240">
        <v>55</v>
      </c>
      <c r="H8" s="240">
        <v>107</v>
      </c>
      <c r="I8" s="240">
        <v>64</v>
      </c>
      <c r="J8" s="240">
        <v>58</v>
      </c>
      <c r="K8" s="135"/>
      <c r="L8" s="100">
        <v>100</v>
      </c>
      <c r="M8" s="100">
        <v>108</v>
      </c>
      <c r="N8" s="135"/>
      <c r="O8" s="240">
        <v>51</v>
      </c>
      <c r="P8" s="240">
        <v>86</v>
      </c>
      <c r="Q8" s="135"/>
      <c r="R8" s="240">
        <v>15</v>
      </c>
      <c r="S8" s="240">
        <v>11</v>
      </c>
      <c r="T8" s="240">
        <v>7</v>
      </c>
      <c r="U8" s="135"/>
      <c r="V8" s="240"/>
      <c r="W8" s="240"/>
      <c r="X8" s="240"/>
      <c r="Y8" s="135"/>
      <c r="Z8" s="100"/>
      <c r="AA8" s="240"/>
      <c r="AB8" s="189"/>
      <c r="AC8" s="240"/>
      <c r="AD8" s="135"/>
      <c r="AE8" s="240">
        <v>114</v>
      </c>
      <c r="AF8" s="240">
        <v>111</v>
      </c>
      <c r="AG8" s="135"/>
      <c r="AH8" s="240">
        <v>79</v>
      </c>
      <c r="AI8" s="240">
        <v>136</v>
      </c>
      <c r="AJ8" s="189"/>
      <c r="AK8" s="240">
        <v>116</v>
      </c>
      <c r="AL8" s="240">
        <v>102</v>
      </c>
      <c r="AM8" s="28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G8" s="132"/>
      <c r="BH8" s="132"/>
      <c r="BI8" s="132"/>
      <c r="BJ8" s="132"/>
      <c r="BK8" s="132"/>
      <c r="BL8" s="132"/>
      <c r="BM8" s="132"/>
      <c r="BN8" s="132"/>
      <c r="BO8" s="132"/>
      <c r="BP8" s="132"/>
      <c r="BQ8" s="132"/>
      <c r="BR8" s="132"/>
      <c r="BS8" s="132"/>
      <c r="BT8" s="132"/>
      <c r="BU8" s="132"/>
      <c r="BV8" s="132"/>
      <c r="BW8" s="132"/>
      <c r="BX8" s="132"/>
      <c r="BY8" s="132"/>
      <c r="BZ8" s="132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</row>
    <row r="9" spans="1:117" ht="15.75" customHeight="1" x14ac:dyDescent="0.2">
      <c r="A9" s="130" t="s">
        <v>48</v>
      </c>
      <c r="B9" s="270"/>
      <c r="C9" s="241"/>
      <c r="D9" s="240"/>
      <c r="E9" s="240"/>
      <c r="F9" s="135"/>
      <c r="G9" s="240"/>
      <c r="H9" s="240"/>
      <c r="I9" s="240"/>
      <c r="J9" s="240"/>
      <c r="K9" s="135"/>
      <c r="L9" s="100"/>
      <c r="M9" s="100"/>
      <c r="N9" s="135"/>
      <c r="O9" s="240"/>
      <c r="P9" s="240"/>
      <c r="Q9" s="135"/>
      <c r="R9" s="240">
        <v>204</v>
      </c>
      <c r="S9" s="240">
        <v>193</v>
      </c>
      <c r="T9" s="240">
        <v>147</v>
      </c>
      <c r="U9" s="135"/>
      <c r="V9" s="240">
        <v>111</v>
      </c>
      <c r="W9" s="240">
        <v>107</v>
      </c>
      <c r="X9" s="240">
        <v>58</v>
      </c>
      <c r="Y9" s="135"/>
      <c r="Z9" s="100"/>
      <c r="AA9" s="240"/>
      <c r="AB9" s="189"/>
      <c r="AC9" s="240"/>
      <c r="AD9" s="135"/>
      <c r="AE9" s="240">
        <v>234</v>
      </c>
      <c r="AF9" s="240">
        <v>310</v>
      </c>
      <c r="AG9" s="135"/>
      <c r="AH9" s="240">
        <v>215</v>
      </c>
      <c r="AI9" s="240">
        <v>319</v>
      </c>
      <c r="AJ9" s="189"/>
      <c r="AK9" s="240">
        <v>255</v>
      </c>
      <c r="AL9" s="240">
        <v>288</v>
      </c>
      <c r="AM9" s="28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G9" s="132"/>
      <c r="BH9" s="132"/>
      <c r="BI9" s="132"/>
      <c r="BJ9" s="132"/>
      <c r="BK9" s="132"/>
      <c r="BL9" s="132"/>
      <c r="BM9" s="132"/>
      <c r="BN9" s="132"/>
      <c r="BO9" s="132"/>
      <c r="BP9" s="132"/>
      <c r="BQ9" s="132"/>
      <c r="BR9" s="132"/>
      <c r="BS9" s="132"/>
      <c r="BT9" s="132"/>
      <c r="BU9" s="132"/>
      <c r="BV9" s="132"/>
      <c r="BW9" s="132"/>
      <c r="BX9" s="132"/>
      <c r="BY9" s="132"/>
      <c r="BZ9" s="132"/>
      <c r="CA9" s="97"/>
      <c r="CB9" s="97"/>
      <c r="CC9" s="97"/>
      <c r="CD9" s="97"/>
      <c r="CE9" s="97"/>
      <c r="CF9" s="97"/>
      <c r="CG9" s="97"/>
      <c r="CH9" s="97"/>
      <c r="CI9" s="97"/>
      <c r="CJ9" s="97"/>
      <c r="CK9" s="97"/>
      <c r="CL9" s="97"/>
      <c r="CM9" s="97"/>
      <c r="CN9" s="97"/>
      <c r="CO9" s="97"/>
      <c r="CP9" s="97"/>
      <c r="CQ9" s="97"/>
      <c r="CR9" s="97"/>
      <c r="CS9" s="97"/>
      <c r="CT9" s="97"/>
      <c r="CU9" s="97"/>
      <c r="CV9" s="97"/>
      <c r="CW9" s="97"/>
      <c r="CX9" s="97"/>
      <c r="CY9" s="97"/>
      <c r="CZ9" s="97"/>
      <c r="DA9" s="97"/>
      <c r="DB9" s="97"/>
      <c r="DC9" s="97"/>
      <c r="DD9" s="97"/>
      <c r="DE9" s="97"/>
      <c r="DF9" s="97"/>
      <c r="DG9" s="97"/>
      <c r="DH9" s="97"/>
      <c r="DI9" s="97"/>
      <c r="DJ9" s="97"/>
      <c r="DK9" s="97"/>
      <c r="DL9" s="97"/>
      <c r="DM9" s="97"/>
    </row>
    <row r="10" spans="1:117" ht="15.75" customHeight="1" x14ac:dyDescent="0.2">
      <c r="A10" s="130" t="s">
        <v>49</v>
      </c>
      <c r="B10" s="270"/>
      <c r="C10" s="241"/>
      <c r="D10" s="240"/>
      <c r="E10" s="240"/>
      <c r="F10" s="135"/>
      <c r="G10" s="240"/>
      <c r="H10" s="240"/>
      <c r="I10" s="240"/>
      <c r="J10" s="240"/>
      <c r="K10" s="135"/>
      <c r="L10" s="100"/>
      <c r="M10" s="100"/>
      <c r="N10" s="135"/>
      <c r="O10" s="240"/>
      <c r="P10" s="240"/>
      <c r="Q10" s="135"/>
      <c r="R10" s="240"/>
      <c r="S10" s="240"/>
      <c r="T10" s="240"/>
      <c r="U10" s="135"/>
      <c r="V10" s="240"/>
      <c r="W10" s="240"/>
      <c r="X10" s="240"/>
      <c r="Y10" s="135"/>
      <c r="Z10" s="100">
        <v>303</v>
      </c>
      <c r="AA10" s="240">
        <v>239</v>
      </c>
      <c r="AB10" s="189"/>
      <c r="AC10" s="240">
        <v>324</v>
      </c>
      <c r="AD10" s="135"/>
      <c r="AE10" s="240">
        <v>84</v>
      </c>
      <c r="AF10" s="240">
        <v>284</v>
      </c>
      <c r="AG10" s="135"/>
      <c r="AH10" s="240">
        <v>89</v>
      </c>
      <c r="AI10" s="240">
        <v>281</v>
      </c>
      <c r="AJ10" s="189"/>
      <c r="AK10" s="240">
        <v>120</v>
      </c>
      <c r="AL10" s="240">
        <v>249</v>
      </c>
      <c r="AM10" s="28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G10" s="132"/>
      <c r="BH10" s="132"/>
      <c r="BI10" s="132"/>
      <c r="BJ10" s="132"/>
      <c r="BK10" s="132"/>
      <c r="BL10" s="132"/>
      <c r="BM10" s="132"/>
      <c r="BN10" s="132"/>
      <c r="BO10" s="132"/>
      <c r="BP10" s="132"/>
      <c r="BQ10" s="132"/>
      <c r="BR10" s="132"/>
      <c r="BS10" s="132"/>
      <c r="BT10" s="132"/>
      <c r="BU10" s="132"/>
      <c r="BV10" s="132"/>
      <c r="BW10" s="132"/>
      <c r="BX10" s="132"/>
      <c r="BY10" s="132"/>
      <c r="BZ10" s="132"/>
      <c r="CA10" s="97"/>
      <c r="CB10" s="97"/>
      <c r="CC10" s="97"/>
      <c r="CD10" s="97"/>
      <c r="CE10" s="97"/>
      <c r="CF10" s="97"/>
      <c r="CG10" s="97"/>
      <c r="CH10" s="97"/>
      <c r="CI10" s="97"/>
      <c r="CJ10" s="97"/>
      <c r="CK10" s="97"/>
      <c r="CL10" s="97"/>
      <c r="CM10" s="97"/>
      <c r="CN10" s="97"/>
      <c r="CO10" s="97"/>
      <c r="CP10" s="97"/>
      <c r="CQ10" s="97"/>
      <c r="CR10" s="97"/>
      <c r="CS10" s="97"/>
      <c r="CT10" s="97"/>
      <c r="CU10" s="97"/>
      <c r="CV10" s="97"/>
      <c r="CW10" s="97"/>
      <c r="CX10" s="97"/>
      <c r="CY10" s="97"/>
      <c r="CZ10" s="97"/>
      <c r="DA10" s="97"/>
      <c r="DB10" s="97"/>
      <c r="DC10" s="97"/>
      <c r="DD10" s="97"/>
      <c r="DE10" s="97"/>
      <c r="DF10" s="97"/>
      <c r="DG10" s="97"/>
      <c r="DH10" s="97"/>
      <c r="DI10" s="97"/>
      <c r="DJ10" s="97"/>
      <c r="DK10" s="97"/>
      <c r="DL10" s="97"/>
      <c r="DM10" s="97"/>
    </row>
    <row r="11" spans="1:117" ht="15.75" customHeight="1" x14ac:dyDescent="0.2">
      <c r="A11" s="130" t="s">
        <v>50</v>
      </c>
      <c r="B11" s="270"/>
      <c r="C11" s="241">
        <v>40</v>
      </c>
      <c r="D11" s="240">
        <v>45</v>
      </c>
      <c r="E11" s="240">
        <v>45</v>
      </c>
      <c r="F11" s="135"/>
      <c r="G11" s="240">
        <v>33</v>
      </c>
      <c r="H11" s="240">
        <v>33</v>
      </c>
      <c r="I11" s="240">
        <v>34</v>
      </c>
      <c r="J11" s="240">
        <v>33</v>
      </c>
      <c r="K11" s="135"/>
      <c r="L11" s="100">
        <v>51</v>
      </c>
      <c r="M11" s="100">
        <v>44</v>
      </c>
      <c r="N11" s="135"/>
      <c r="O11" s="240">
        <v>34</v>
      </c>
      <c r="P11" s="240">
        <v>30</v>
      </c>
      <c r="Q11" s="135"/>
      <c r="R11" s="240">
        <v>1</v>
      </c>
      <c r="S11" s="240">
        <v>1</v>
      </c>
      <c r="T11" s="240"/>
      <c r="U11" s="135"/>
      <c r="V11" s="240"/>
      <c r="W11" s="240"/>
      <c r="X11" s="240"/>
      <c r="Y11" s="135"/>
      <c r="Z11" s="100"/>
      <c r="AA11" s="240"/>
      <c r="AB11" s="189"/>
      <c r="AC11" s="240"/>
      <c r="AD11" s="135"/>
      <c r="AE11" s="240">
        <v>60</v>
      </c>
      <c r="AF11" s="240">
        <v>36</v>
      </c>
      <c r="AG11" s="135"/>
      <c r="AH11" s="240">
        <v>37</v>
      </c>
      <c r="AI11" s="240">
        <v>54</v>
      </c>
      <c r="AJ11" s="189"/>
      <c r="AK11" s="240">
        <v>47</v>
      </c>
      <c r="AL11" s="240">
        <v>47</v>
      </c>
      <c r="AM11" s="28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G11" s="132"/>
      <c r="BH11" s="132"/>
      <c r="BI11" s="132"/>
      <c r="BJ11" s="132"/>
      <c r="BK11" s="132"/>
      <c r="BL11" s="132"/>
      <c r="BM11" s="132"/>
      <c r="BN11" s="132"/>
      <c r="BO11" s="132"/>
      <c r="BP11" s="132"/>
      <c r="BQ11" s="132"/>
      <c r="BR11" s="132"/>
      <c r="BS11" s="132"/>
      <c r="BT11" s="132"/>
      <c r="BU11" s="132"/>
      <c r="BV11" s="132"/>
      <c r="BW11" s="132"/>
      <c r="BX11" s="132"/>
      <c r="BY11" s="132"/>
      <c r="BZ11" s="132"/>
      <c r="CA11" s="97"/>
      <c r="CB11" s="97"/>
      <c r="CC11" s="97"/>
      <c r="CD11" s="97"/>
      <c r="CE11" s="97"/>
      <c r="CF11" s="97"/>
      <c r="CG11" s="97"/>
      <c r="CH11" s="97"/>
      <c r="CI11" s="97"/>
      <c r="CJ11" s="97"/>
      <c r="CK11" s="97"/>
      <c r="CL11" s="97"/>
      <c r="CM11" s="97"/>
      <c r="CN11" s="97"/>
      <c r="CO11" s="97"/>
      <c r="CP11" s="97"/>
      <c r="CQ11" s="97"/>
      <c r="CR11" s="97"/>
      <c r="CS11" s="97"/>
      <c r="CT11" s="97"/>
      <c r="CU11" s="97"/>
      <c r="CV11" s="97"/>
      <c r="CW11" s="97"/>
      <c r="CX11" s="97"/>
      <c r="CY11" s="97"/>
      <c r="CZ11" s="97"/>
      <c r="DA11" s="97"/>
      <c r="DB11" s="97"/>
      <c r="DC11" s="97"/>
      <c r="DD11" s="97"/>
      <c r="DE11" s="97"/>
      <c r="DF11" s="97"/>
      <c r="DG11" s="97"/>
      <c r="DH11" s="97"/>
      <c r="DI11" s="97"/>
      <c r="DJ11" s="97"/>
      <c r="DK11" s="97"/>
      <c r="DL11" s="97"/>
      <c r="DM11" s="97"/>
    </row>
    <row r="12" spans="1:117" ht="15.75" customHeight="1" x14ac:dyDescent="0.2">
      <c r="A12" s="130" t="s">
        <v>52</v>
      </c>
      <c r="B12" s="270"/>
      <c r="C12" s="241">
        <v>68</v>
      </c>
      <c r="D12" s="240">
        <v>64</v>
      </c>
      <c r="E12" s="240">
        <v>60</v>
      </c>
      <c r="F12" s="135"/>
      <c r="G12" s="240">
        <v>24</v>
      </c>
      <c r="H12" s="240">
        <v>25</v>
      </c>
      <c r="I12" s="240">
        <v>20</v>
      </c>
      <c r="J12" s="240">
        <v>18</v>
      </c>
      <c r="K12" s="135"/>
      <c r="L12" s="100">
        <v>29</v>
      </c>
      <c r="M12" s="100">
        <v>33</v>
      </c>
      <c r="N12" s="135"/>
      <c r="O12" s="240">
        <v>12</v>
      </c>
      <c r="P12" s="240">
        <v>22</v>
      </c>
      <c r="Q12" s="135"/>
      <c r="R12" s="240"/>
      <c r="S12" s="240"/>
      <c r="T12" s="240"/>
      <c r="U12" s="135"/>
      <c r="V12" s="240"/>
      <c r="W12" s="240"/>
      <c r="X12" s="240"/>
      <c r="Y12" s="135"/>
      <c r="Z12" s="100">
        <v>46</v>
      </c>
      <c r="AA12" s="240">
        <v>39</v>
      </c>
      <c r="AB12" s="189"/>
      <c r="AC12" s="240">
        <v>51</v>
      </c>
      <c r="AD12" s="135"/>
      <c r="AE12" s="240">
        <v>50</v>
      </c>
      <c r="AF12" s="240">
        <v>61</v>
      </c>
      <c r="AG12" s="135"/>
      <c r="AH12" s="240">
        <v>44</v>
      </c>
      <c r="AI12" s="240">
        <v>65</v>
      </c>
      <c r="AJ12" s="189"/>
      <c r="AK12" s="240">
        <v>50</v>
      </c>
      <c r="AL12" s="240">
        <v>59</v>
      </c>
      <c r="AM12" s="28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G12" s="132"/>
      <c r="BH12" s="132"/>
      <c r="BI12" s="132"/>
      <c r="BJ12" s="132"/>
      <c r="BK12" s="132"/>
      <c r="BL12" s="132"/>
      <c r="BM12" s="132"/>
      <c r="BN12" s="132"/>
      <c r="BO12" s="132"/>
      <c r="BP12" s="132"/>
      <c r="BQ12" s="132"/>
      <c r="BR12" s="132"/>
      <c r="BS12" s="132"/>
      <c r="BT12" s="132"/>
      <c r="BU12" s="132"/>
      <c r="BV12" s="132"/>
      <c r="BW12" s="132"/>
      <c r="BX12" s="132"/>
      <c r="BY12" s="132"/>
      <c r="BZ12" s="132"/>
      <c r="CA12" s="97"/>
      <c r="CB12" s="97"/>
      <c r="CC12" s="97"/>
      <c r="CD12" s="97"/>
      <c r="CE12" s="97"/>
      <c r="CF12" s="97"/>
      <c r="CG12" s="97"/>
      <c r="CH12" s="97"/>
      <c r="CI12" s="97"/>
      <c r="CJ12" s="97"/>
      <c r="CK12" s="97"/>
      <c r="CL12" s="97"/>
      <c r="CM12" s="97"/>
      <c r="CN12" s="97"/>
      <c r="CO12" s="97"/>
      <c r="CP12" s="97"/>
      <c r="CQ12" s="97"/>
      <c r="CR12" s="97"/>
      <c r="CS12" s="97"/>
      <c r="CT12" s="97"/>
      <c r="CU12" s="97"/>
      <c r="CV12" s="97"/>
      <c r="CW12" s="97"/>
      <c r="CX12" s="97"/>
      <c r="CY12" s="97"/>
      <c r="CZ12" s="97"/>
      <c r="DA12" s="97"/>
      <c r="DB12" s="97"/>
      <c r="DC12" s="97"/>
      <c r="DD12" s="97"/>
      <c r="DE12" s="97"/>
      <c r="DF12" s="97"/>
      <c r="DG12" s="97"/>
      <c r="DH12" s="97"/>
      <c r="DI12" s="97"/>
      <c r="DJ12" s="97"/>
      <c r="DK12" s="97"/>
      <c r="DL12" s="97"/>
      <c r="DM12" s="97"/>
    </row>
    <row r="13" spans="1:117" ht="15.75" customHeight="1" x14ac:dyDescent="0.2">
      <c r="A13" s="130" t="s">
        <v>51</v>
      </c>
      <c r="B13" s="270"/>
      <c r="C13" s="241"/>
      <c r="D13" s="240"/>
      <c r="E13" s="240"/>
      <c r="F13" s="135"/>
      <c r="G13" s="240"/>
      <c r="H13" s="240"/>
      <c r="I13" s="240"/>
      <c r="J13" s="240"/>
      <c r="K13" s="135"/>
      <c r="L13" s="100"/>
      <c r="M13" s="100"/>
      <c r="N13" s="135"/>
      <c r="O13" s="240"/>
      <c r="P13" s="240"/>
      <c r="Q13" s="135"/>
      <c r="R13" s="240">
        <v>277</v>
      </c>
      <c r="S13" s="240">
        <v>215</v>
      </c>
      <c r="T13" s="240">
        <v>191</v>
      </c>
      <c r="U13" s="135"/>
      <c r="V13" s="240"/>
      <c r="W13" s="240"/>
      <c r="X13" s="240"/>
      <c r="Y13" s="135"/>
      <c r="Z13" s="100"/>
      <c r="AA13" s="240"/>
      <c r="AB13" s="189"/>
      <c r="AC13" s="240"/>
      <c r="AD13" s="135"/>
      <c r="AE13" s="240">
        <v>238</v>
      </c>
      <c r="AF13" s="240">
        <v>238</v>
      </c>
      <c r="AG13" s="135"/>
      <c r="AH13" s="240">
        <v>197</v>
      </c>
      <c r="AI13" s="240">
        <v>272</v>
      </c>
      <c r="AJ13" s="189"/>
      <c r="AK13" s="240">
        <v>251</v>
      </c>
      <c r="AL13" s="240">
        <v>220</v>
      </c>
      <c r="AM13" s="28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G13" s="132"/>
      <c r="BH13" s="132"/>
      <c r="BI13" s="132"/>
      <c r="BJ13" s="132"/>
      <c r="BK13" s="132"/>
      <c r="BL13" s="132"/>
      <c r="BM13" s="132"/>
      <c r="BN13" s="132"/>
      <c r="BO13" s="132"/>
      <c r="BP13" s="132"/>
      <c r="BQ13" s="132"/>
      <c r="BR13" s="132"/>
      <c r="BS13" s="132"/>
      <c r="BT13" s="132"/>
      <c r="BU13" s="132"/>
      <c r="BV13" s="132"/>
      <c r="BW13" s="132"/>
      <c r="BX13" s="132"/>
      <c r="BY13" s="132"/>
      <c r="BZ13" s="132"/>
      <c r="CA13" s="97"/>
      <c r="CB13" s="97"/>
      <c r="CC13" s="97"/>
      <c r="CD13" s="97"/>
      <c r="CE13" s="97"/>
      <c r="CF13" s="97"/>
      <c r="CG13" s="97"/>
      <c r="CH13" s="97"/>
      <c r="CI13" s="97"/>
      <c r="CJ13" s="97"/>
      <c r="CK13" s="97"/>
      <c r="CL13" s="97"/>
      <c r="CM13" s="97"/>
      <c r="CN13" s="97"/>
      <c r="CO13" s="97"/>
      <c r="CP13" s="97"/>
      <c r="CQ13" s="97"/>
      <c r="CR13" s="97"/>
      <c r="CS13" s="97"/>
      <c r="CT13" s="97"/>
      <c r="CU13" s="97"/>
      <c r="CV13" s="97"/>
      <c r="CW13" s="97"/>
      <c r="CX13" s="97"/>
      <c r="CY13" s="97"/>
      <c r="CZ13" s="97"/>
      <c r="DA13" s="97"/>
      <c r="DB13" s="97"/>
      <c r="DC13" s="97"/>
      <c r="DD13" s="97"/>
      <c r="DE13" s="97"/>
      <c r="DF13" s="97"/>
      <c r="DG13" s="97"/>
      <c r="DH13" s="97"/>
      <c r="DI13" s="97"/>
      <c r="DJ13" s="97"/>
      <c r="DK13" s="97"/>
      <c r="DL13" s="97"/>
      <c r="DM13" s="97"/>
    </row>
    <row r="14" spans="1:117" ht="15.75" customHeight="1" x14ac:dyDescent="0.2">
      <c r="A14" s="130" t="s">
        <v>53</v>
      </c>
      <c r="B14" s="270"/>
      <c r="C14" s="241"/>
      <c r="D14" s="240"/>
      <c r="E14" s="240"/>
      <c r="F14" s="135"/>
      <c r="G14" s="240"/>
      <c r="H14" s="240"/>
      <c r="I14" s="240"/>
      <c r="J14" s="240"/>
      <c r="K14" s="135"/>
      <c r="L14" s="100"/>
      <c r="M14" s="100"/>
      <c r="N14" s="135"/>
      <c r="O14" s="240"/>
      <c r="P14" s="240"/>
      <c r="Q14" s="135"/>
      <c r="R14" s="240">
        <v>710</v>
      </c>
      <c r="S14" s="240">
        <v>628</v>
      </c>
      <c r="T14" s="240">
        <v>473</v>
      </c>
      <c r="U14" s="135"/>
      <c r="V14" s="240"/>
      <c r="W14" s="240"/>
      <c r="X14" s="240"/>
      <c r="Y14" s="135"/>
      <c r="Z14" s="100">
        <v>90</v>
      </c>
      <c r="AA14" s="240">
        <v>88</v>
      </c>
      <c r="AB14" s="189"/>
      <c r="AC14" s="240">
        <v>107</v>
      </c>
      <c r="AD14" s="135"/>
      <c r="AE14" s="240">
        <v>567</v>
      </c>
      <c r="AF14" s="240">
        <v>819</v>
      </c>
      <c r="AG14" s="135"/>
      <c r="AH14" s="240">
        <v>656</v>
      </c>
      <c r="AI14" s="240">
        <v>722</v>
      </c>
      <c r="AJ14" s="189"/>
      <c r="AK14" s="240">
        <v>741</v>
      </c>
      <c r="AL14" s="240">
        <v>632</v>
      </c>
      <c r="AM14" s="28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G14" s="132"/>
      <c r="BH14" s="132"/>
      <c r="BI14" s="132"/>
      <c r="BJ14" s="132"/>
      <c r="BK14" s="132"/>
      <c r="BL14" s="132"/>
      <c r="BM14" s="132"/>
      <c r="BN14" s="132"/>
      <c r="BO14" s="132"/>
      <c r="BP14" s="132"/>
      <c r="BQ14" s="132"/>
      <c r="BR14" s="132"/>
      <c r="BS14" s="132"/>
      <c r="BT14" s="132"/>
      <c r="BU14" s="132"/>
      <c r="BV14" s="132"/>
      <c r="BW14" s="132"/>
      <c r="BX14" s="132"/>
      <c r="BY14" s="132"/>
      <c r="BZ14" s="132"/>
      <c r="CA14" s="97"/>
      <c r="CB14" s="97"/>
      <c r="CC14" s="97"/>
      <c r="CD14" s="97"/>
      <c r="CE14" s="97"/>
      <c r="CF14" s="97"/>
      <c r="CG14" s="97"/>
      <c r="CH14" s="97"/>
      <c r="CI14" s="97"/>
      <c r="CJ14" s="97"/>
      <c r="CK14" s="97"/>
      <c r="CL14" s="97"/>
      <c r="CM14" s="97"/>
      <c r="CN14" s="97"/>
      <c r="CO14" s="97"/>
      <c r="CP14" s="97"/>
      <c r="CQ14" s="97"/>
      <c r="CR14" s="97"/>
      <c r="CS14" s="97"/>
      <c r="CT14" s="97"/>
      <c r="CU14" s="97"/>
      <c r="CV14" s="97"/>
      <c r="CW14" s="97"/>
      <c r="CX14" s="97"/>
      <c r="CY14" s="97"/>
      <c r="CZ14" s="97"/>
      <c r="DA14" s="97"/>
      <c r="DB14" s="97"/>
      <c r="DC14" s="97"/>
      <c r="DD14" s="97"/>
      <c r="DE14" s="97"/>
      <c r="DF14" s="97"/>
      <c r="DG14" s="97"/>
      <c r="DH14" s="97"/>
      <c r="DI14" s="97"/>
      <c r="DJ14" s="97"/>
      <c r="DK14" s="97"/>
      <c r="DL14" s="97"/>
      <c r="DM14" s="97"/>
    </row>
    <row r="15" spans="1:117" ht="15.75" customHeight="1" x14ac:dyDescent="0.2">
      <c r="A15" s="130" t="s">
        <v>8</v>
      </c>
      <c r="B15" s="270"/>
      <c r="C15" s="241"/>
      <c r="D15" s="240"/>
      <c r="E15" s="240"/>
      <c r="F15" s="135"/>
      <c r="G15" s="240"/>
      <c r="H15" s="240"/>
      <c r="I15" s="240"/>
      <c r="J15" s="240"/>
      <c r="K15" s="135"/>
      <c r="L15" s="100"/>
      <c r="M15" s="100"/>
      <c r="N15" s="135"/>
      <c r="O15" s="240"/>
      <c r="P15" s="240"/>
      <c r="Q15" s="135"/>
      <c r="R15" s="240">
        <v>163</v>
      </c>
      <c r="S15" s="240">
        <v>138</v>
      </c>
      <c r="T15" s="240">
        <v>144</v>
      </c>
      <c r="U15" s="135"/>
      <c r="V15" s="240"/>
      <c r="W15" s="240"/>
      <c r="X15" s="240"/>
      <c r="Y15" s="135"/>
      <c r="Z15" s="100"/>
      <c r="AA15" s="240"/>
      <c r="AB15" s="189"/>
      <c r="AC15" s="240"/>
      <c r="AD15" s="135"/>
      <c r="AE15" s="240">
        <v>152</v>
      </c>
      <c r="AF15" s="240">
        <v>149</v>
      </c>
      <c r="AG15" s="135"/>
      <c r="AH15" s="240">
        <v>103</v>
      </c>
      <c r="AI15" s="240">
        <v>190</v>
      </c>
      <c r="AJ15" s="189"/>
      <c r="AK15" s="240">
        <v>135</v>
      </c>
      <c r="AL15" s="240">
        <v>161</v>
      </c>
      <c r="AM15" s="28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G15" s="132"/>
      <c r="BH15" s="132"/>
      <c r="BI15" s="132"/>
      <c r="BJ15" s="132"/>
      <c r="BK15" s="132"/>
      <c r="BL15" s="132"/>
      <c r="BM15" s="132"/>
      <c r="BN15" s="132"/>
      <c r="BO15" s="132"/>
      <c r="BP15" s="132"/>
      <c r="BQ15" s="132"/>
      <c r="BR15" s="132"/>
      <c r="BS15" s="132"/>
      <c r="BT15" s="132"/>
      <c r="BU15" s="132"/>
      <c r="BV15" s="132"/>
      <c r="BW15" s="132"/>
      <c r="BX15" s="132"/>
      <c r="BY15" s="132"/>
      <c r="BZ15" s="132"/>
      <c r="CA15" s="97"/>
      <c r="CB15" s="97"/>
      <c r="CC15" s="97"/>
      <c r="CD15" s="97"/>
      <c r="CE15" s="97"/>
      <c r="CF15" s="97"/>
      <c r="CG15" s="97"/>
      <c r="CH15" s="97"/>
      <c r="CI15" s="97"/>
      <c r="CJ15" s="97"/>
      <c r="CK15" s="97"/>
      <c r="CL15" s="97"/>
      <c r="CM15" s="97"/>
      <c r="CN15" s="97"/>
      <c r="CO15" s="97"/>
      <c r="CP15" s="97"/>
      <c r="CQ15" s="97"/>
      <c r="CR15" s="97"/>
      <c r="CS15" s="97"/>
      <c r="CT15" s="97"/>
      <c r="CU15" s="97"/>
      <c r="CV15" s="97"/>
      <c r="CW15" s="97"/>
      <c r="CX15" s="97"/>
      <c r="CY15" s="97"/>
      <c r="CZ15" s="97"/>
      <c r="DA15" s="97"/>
      <c r="DB15" s="97"/>
      <c r="DC15" s="97"/>
      <c r="DD15" s="97"/>
      <c r="DE15" s="97"/>
      <c r="DF15" s="97"/>
      <c r="DG15" s="97"/>
      <c r="DH15" s="97"/>
      <c r="DI15" s="97"/>
      <c r="DJ15" s="97"/>
      <c r="DK15" s="97"/>
      <c r="DL15" s="97"/>
      <c r="DM15" s="97"/>
    </row>
    <row r="16" spans="1:117" ht="15.75" customHeight="1" x14ac:dyDescent="0.2">
      <c r="A16" s="130" t="s">
        <v>54</v>
      </c>
      <c r="B16" s="270"/>
      <c r="C16" s="241"/>
      <c r="D16" s="240"/>
      <c r="E16" s="240"/>
      <c r="F16" s="135"/>
      <c r="G16" s="240"/>
      <c r="H16" s="240"/>
      <c r="I16" s="240"/>
      <c r="J16" s="240"/>
      <c r="K16" s="135"/>
      <c r="L16" s="100"/>
      <c r="M16" s="100"/>
      <c r="N16" s="135"/>
      <c r="O16" s="240"/>
      <c r="P16" s="240"/>
      <c r="Q16" s="135"/>
      <c r="R16" s="240">
        <v>121</v>
      </c>
      <c r="S16" s="240">
        <v>79</v>
      </c>
      <c r="T16" s="240">
        <v>81</v>
      </c>
      <c r="U16" s="135"/>
      <c r="V16" s="240"/>
      <c r="W16" s="240"/>
      <c r="X16" s="240"/>
      <c r="Y16" s="135"/>
      <c r="Z16" s="100"/>
      <c r="AA16" s="240"/>
      <c r="AB16" s="189"/>
      <c r="AC16" s="240"/>
      <c r="AD16" s="135"/>
      <c r="AE16" s="240">
        <v>125</v>
      </c>
      <c r="AF16" s="240">
        <v>83</v>
      </c>
      <c r="AG16" s="135"/>
      <c r="AH16" s="240">
        <v>78</v>
      </c>
      <c r="AI16" s="240">
        <v>124</v>
      </c>
      <c r="AJ16" s="189"/>
      <c r="AK16" s="240">
        <v>97</v>
      </c>
      <c r="AL16" s="240">
        <v>104</v>
      </c>
      <c r="AM16" s="28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G16" s="132"/>
      <c r="BH16" s="132"/>
      <c r="BI16" s="132"/>
      <c r="BJ16" s="132"/>
      <c r="BK16" s="132"/>
      <c r="BL16" s="132"/>
      <c r="BM16" s="132"/>
      <c r="BN16" s="132"/>
      <c r="BO16" s="132"/>
      <c r="BP16" s="132"/>
      <c r="BQ16" s="132"/>
      <c r="BR16" s="132"/>
      <c r="BS16" s="132"/>
      <c r="BT16" s="132"/>
      <c r="BU16" s="132"/>
      <c r="BV16" s="132"/>
      <c r="BW16" s="132"/>
      <c r="BX16" s="132"/>
      <c r="BY16" s="132"/>
      <c r="BZ16" s="132"/>
      <c r="CA16" s="97"/>
      <c r="CB16" s="97"/>
      <c r="CC16" s="97"/>
      <c r="CD16" s="97"/>
      <c r="CE16" s="97"/>
      <c r="CF16" s="97"/>
      <c r="CG16" s="97"/>
      <c r="CH16" s="97"/>
      <c r="CI16" s="97"/>
      <c r="CJ16" s="97"/>
      <c r="CK16" s="97"/>
      <c r="CL16" s="97"/>
      <c r="CM16" s="97"/>
      <c r="CN16" s="97"/>
      <c r="CO16" s="97"/>
      <c r="CP16" s="97"/>
      <c r="CQ16" s="97"/>
      <c r="CR16" s="97"/>
      <c r="CS16" s="97"/>
      <c r="CT16" s="97"/>
      <c r="CU16" s="97"/>
      <c r="CV16" s="97"/>
      <c r="CW16" s="97"/>
      <c r="CX16" s="97"/>
      <c r="CY16" s="97"/>
      <c r="CZ16" s="97"/>
      <c r="DA16" s="97"/>
      <c r="DB16" s="97"/>
      <c r="DC16" s="97"/>
      <c r="DD16" s="97"/>
      <c r="DE16" s="97"/>
      <c r="DF16" s="97"/>
      <c r="DG16" s="97"/>
      <c r="DH16" s="97"/>
      <c r="DI16" s="97"/>
      <c r="DJ16" s="97"/>
      <c r="DK16" s="97"/>
      <c r="DL16" s="97"/>
      <c r="DM16" s="97"/>
    </row>
    <row r="17" spans="1:117" ht="15.75" customHeight="1" x14ac:dyDescent="0.2">
      <c r="A17" s="130" t="s">
        <v>61</v>
      </c>
      <c r="B17" s="270"/>
      <c r="C17" s="241"/>
      <c r="D17" s="240"/>
      <c r="E17" s="240"/>
      <c r="F17" s="135"/>
      <c r="G17" s="240"/>
      <c r="H17" s="240"/>
      <c r="I17" s="240"/>
      <c r="J17" s="240"/>
      <c r="K17" s="135"/>
      <c r="L17" s="100"/>
      <c r="M17" s="100"/>
      <c r="N17" s="135"/>
      <c r="O17" s="240"/>
      <c r="P17" s="240"/>
      <c r="Q17" s="135"/>
      <c r="R17" s="240">
        <v>227</v>
      </c>
      <c r="S17" s="240">
        <v>170</v>
      </c>
      <c r="T17" s="240">
        <v>148</v>
      </c>
      <c r="U17" s="135"/>
      <c r="V17" s="240"/>
      <c r="W17" s="240"/>
      <c r="X17" s="240"/>
      <c r="Y17" s="135"/>
      <c r="Z17" s="100">
        <v>120</v>
      </c>
      <c r="AA17" s="240">
        <v>106</v>
      </c>
      <c r="AB17" s="189"/>
      <c r="AC17" s="240">
        <v>133</v>
      </c>
      <c r="AD17" s="135"/>
      <c r="AE17" s="240">
        <v>186</v>
      </c>
      <c r="AF17" s="240">
        <v>325</v>
      </c>
      <c r="AG17" s="135"/>
      <c r="AH17" s="240">
        <v>192</v>
      </c>
      <c r="AI17" s="240">
        <v>317</v>
      </c>
      <c r="AJ17" s="189"/>
      <c r="AK17" s="240">
        <v>236</v>
      </c>
      <c r="AL17" s="240">
        <v>276</v>
      </c>
      <c r="AM17" s="28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G17" s="132"/>
      <c r="BH17" s="132"/>
      <c r="BI17" s="132"/>
      <c r="BJ17" s="132"/>
      <c r="BK17" s="132"/>
      <c r="BL17" s="132"/>
      <c r="BM17" s="132"/>
      <c r="BN17" s="132"/>
      <c r="BO17" s="132"/>
      <c r="BP17" s="132"/>
      <c r="BQ17" s="132"/>
      <c r="BR17" s="132"/>
      <c r="BS17" s="132"/>
      <c r="BT17" s="132"/>
      <c r="BU17" s="132"/>
      <c r="BV17" s="132"/>
      <c r="BW17" s="132"/>
      <c r="BX17" s="132"/>
      <c r="BY17" s="132"/>
      <c r="BZ17" s="132"/>
      <c r="CA17" s="97"/>
      <c r="CB17" s="97"/>
      <c r="CC17" s="97"/>
      <c r="CD17" s="97"/>
      <c r="CE17" s="97"/>
      <c r="CF17" s="97"/>
      <c r="CG17" s="97"/>
      <c r="CH17" s="97"/>
      <c r="CI17" s="97"/>
      <c r="CJ17" s="97"/>
      <c r="CK17" s="97"/>
      <c r="CL17" s="97"/>
      <c r="CM17" s="97"/>
      <c r="CN17" s="97"/>
      <c r="CO17" s="97"/>
      <c r="CP17" s="97"/>
      <c r="CQ17" s="97"/>
      <c r="CR17" s="97"/>
      <c r="CS17" s="97"/>
      <c r="CT17" s="97"/>
      <c r="CU17" s="97"/>
      <c r="CV17" s="97"/>
      <c r="CW17" s="97"/>
      <c r="CX17" s="97"/>
      <c r="CY17" s="97"/>
      <c r="CZ17" s="97"/>
      <c r="DA17" s="97"/>
      <c r="DB17" s="97"/>
      <c r="DC17" s="97"/>
      <c r="DD17" s="97"/>
      <c r="DE17" s="97"/>
      <c r="DF17" s="97"/>
      <c r="DG17" s="97"/>
      <c r="DH17" s="97"/>
      <c r="DI17" s="97"/>
      <c r="DJ17" s="97"/>
      <c r="DK17" s="97"/>
      <c r="DL17" s="97"/>
      <c r="DM17" s="97"/>
    </row>
    <row r="18" spans="1:117" ht="15.75" customHeight="1" x14ac:dyDescent="0.2">
      <c r="A18" s="130" t="s">
        <v>62</v>
      </c>
      <c r="B18" s="270"/>
      <c r="C18" s="241"/>
      <c r="D18" s="240"/>
      <c r="E18" s="240"/>
      <c r="F18" s="135"/>
      <c r="G18" s="240"/>
      <c r="H18" s="240"/>
      <c r="I18" s="240"/>
      <c r="J18" s="240"/>
      <c r="K18" s="135"/>
      <c r="L18" s="100"/>
      <c r="M18" s="100"/>
      <c r="N18" s="135"/>
      <c r="O18" s="240"/>
      <c r="P18" s="240"/>
      <c r="Q18" s="135"/>
      <c r="R18" s="240"/>
      <c r="S18" s="240"/>
      <c r="T18" s="240"/>
      <c r="U18" s="135"/>
      <c r="V18" s="240"/>
      <c r="W18" s="240"/>
      <c r="X18" s="240"/>
      <c r="Y18" s="135"/>
      <c r="Z18" s="100">
        <v>501</v>
      </c>
      <c r="AA18" s="240">
        <v>378</v>
      </c>
      <c r="AB18" s="189"/>
      <c r="AC18" s="240">
        <v>521</v>
      </c>
      <c r="AD18" s="135"/>
      <c r="AE18" s="240">
        <v>152</v>
      </c>
      <c r="AF18" s="240">
        <v>474</v>
      </c>
      <c r="AG18" s="135"/>
      <c r="AH18" s="240">
        <v>186</v>
      </c>
      <c r="AI18" s="240">
        <v>425</v>
      </c>
      <c r="AJ18" s="189"/>
      <c r="AK18" s="240">
        <v>245</v>
      </c>
      <c r="AL18" s="240">
        <v>372</v>
      </c>
      <c r="AM18" s="28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G18" s="132"/>
      <c r="BH18" s="132"/>
      <c r="BI18" s="132"/>
      <c r="BJ18" s="132"/>
      <c r="BK18" s="132"/>
      <c r="BL18" s="132"/>
      <c r="BM18" s="132"/>
      <c r="BN18" s="132"/>
      <c r="BO18" s="132"/>
      <c r="BP18" s="132"/>
      <c r="BQ18" s="132"/>
      <c r="BR18" s="132"/>
      <c r="BS18" s="132"/>
      <c r="BT18" s="132"/>
      <c r="BU18" s="132"/>
      <c r="BV18" s="132"/>
      <c r="BW18" s="132"/>
      <c r="BX18" s="132"/>
      <c r="BY18" s="132"/>
      <c r="BZ18" s="132"/>
      <c r="CA18" s="97"/>
      <c r="CB18" s="97"/>
      <c r="CC18" s="97"/>
      <c r="CD18" s="97"/>
      <c r="CE18" s="97"/>
      <c r="CF18" s="97"/>
      <c r="CG18" s="97"/>
      <c r="CH18" s="97"/>
      <c r="CI18" s="97"/>
      <c r="CJ18" s="97"/>
      <c r="CK18" s="97"/>
      <c r="CL18" s="97"/>
      <c r="CM18" s="97"/>
      <c r="CN18" s="97"/>
      <c r="CO18" s="97"/>
      <c r="CP18" s="97"/>
      <c r="CQ18" s="97"/>
      <c r="CR18" s="97"/>
      <c r="CS18" s="97"/>
      <c r="CT18" s="97"/>
      <c r="CU18" s="97"/>
      <c r="CV18" s="97"/>
      <c r="CW18" s="97"/>
      <c r="CX18" s="97"/>
      <c r="CY18" s="97"/>
      <c r="CZ18" s="97"/>
      <c r="DA18" s="97"/>
      <c r="DB18" s="97"/>
      <c r="DC18" s="97"/>
      <c r="DD18" s="97"/>
      <c r="DE18" s="97"/>
      <c r="DF18" s="97"/>
      <c r="DG18" s="97"/>
      <c r="DH18" s="97"/>
      <c r="DI18" s="97"/>
      <c r="DJ18" s="97"/>
      <c r="DK18" s="97"/>
      <c r="DL18" s="97"/>
      <c r="DM18" s="97"/>
    </row>
    <row r="19" spans="1:117" ht="15.75" customHeight="1" x14ac:dyDescent="0.2">
      <c r="A19" s="130" t="s">
        <v>56</v>
      </c>
      <c r="B19" s="270"/>
      <c r="C19" s="241"/>
      <c r="D19" s="240"/>
      <c r="E19" s="240"/>
      <c r="F19" s="135"/>
      <c r="G19" s="240"/>
      <c r="H19" s="240"/>
      <c r="I19" s="240"/>
      <c r="J19" s="240"/>
      <c r="K19" s="135"/>
      <c r="L19" s="100"/>
      <c r="M19" s="100"/>
      <c r="N19" s="135"/>
      <c r="O19" s="240"/>
      <c r="P19" s="240"/>
      <c r="Q19" s="135"/>
      <c r="R19" s="240"/>
      <c r="S19" s="240"/>
      <c r="T19" s="240"/>
      <c r="U19" s="135"/>
      <c r="V19" s="240"/>
      <c r="W19" s="240"/>
      <c r="X19" s="240"/>
      <c r="Y19" s="135"/>
      <c r="Z19" s="100">
        <v>372</v>
      </c>
      <c r="AA19" s="240">
        <v>252</v>
      </c>
      <c r="AB19" s="189"/>
      <c r="AC19" s="240">
        <v>376</v>
      </c>
      <c r="AD19" s="135"/>
      <c r="AE19" s="240">
        <v>107</v>
      </c>
      <c r="AF19" s="240">
        <v>326</v>
      </c>
      <c r="AG19" s="135"/>
      <c r="AH19" s="240">
        <v>97</v>
      </c>
      <c r="AI19" s="240">
        <v>328</v>
      </c>
      <c r="AJ19" s="189"/>
      <c r="AK19" s="240">
        <v>131</v>
      </c>
      <c r="AL19" s="240">
        <v>295</v>
      </c>
      <c r="AM19" s="28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G19" s="132"/>
      <c r="BH19" s="132"/>
      <c r="BI19" s="132"/>
      <c r="BJ19" s="132"/>
      <c r="BK19" s="132"/>
      <c r="BL19" s="132"/>
      <c r="BM19" s="132"/>
      <c r="BN19" s="132"/>
      <c r="BO19" s="132"/>
      <c r="BP19" s="132"/>
      <c r="BQ19" s="132"/>
      <c r="BR19" s="132"/>
      <c r="BS19" s="132"/>
      <c r="BT19" s="132"/>
      <c r="BU19" s="132"/>
      <c r="BV19" s="132"/>
      <c r="BW19" s="132"/>
      <c r="BX19" s="132"/>
      <c r="BY19" s="132"/>
      <c r="BZ19" s="132"/>
      <c r="CA19" s="97"/>
      <c r="CB19" s="97"/>
      <c r="CC19" s="97"/>
      <c r="CD19" s="97"/>
      <c r="CE19" s="97"/>
      <c r="CF19" s="97"/>
      <c r="CG19" s="97"/>
      <c r="CH19" s="97"/>
      <c r="CI19" s="97"/>
      <c r="CJ19" s="97"/>
      <c r="CK19" s="97"/>
      <c r="CL19" s="97"/>
      <c r="CM19" s="97"/>
      <c r="CN19" s="97"/>
      <c r="CO19" s="97"/>
      <c r="CP19" s="97"/>
      <c r="CQ19" s="97"/>
      <c r="CR19" s="97"/>
      <c r="CS19" s="97"/>
      <c r="CT19" s="97"/>
      <c r="CU19" s="97"/>
      <c r="CV19" s="97"/>
      <c r="CW19" s="97"/>
      <c r="CX19" s="97"/>
      <c r="CY19" s="97"/>
      <c r="CZ19" s="97"/>
      <c r="DA19" s="97"/>
      <c r="DB19" s="97"/>
      <c r="DC19" s="97"/>
      <c r="DD19" s="97"/>
      <c r="DE19" s="97"/>
      <c r="DF19" s="97"/>
      <c r="DG19" s="97"/>
      <c r="DH19" s="97"/>
      <c r="DI19" s="97"/>
      <c r="DJ19" s="97"/>
      <c r="DK19" s="97"/>
      <c r="DL19" s="97"/>
      <c r="DM19" s="97"/>
    </row>
    <row r="20" spans="1:117" ht="15" customHeight="1" x14ac:dyDescent="0.2">
      <c r="A20" s="130" t="s">
        <v>57</v>
      </c>
      <c r="B20" s="270"/>
      <c r="C20" s="241">
        <v>46</v>
      </c>
      <c r="D20" s="240">
        <v>52</v>
      </c>
      <c r="E20" s="240">
        <v>38</v>
      </c>
      <c r="F20" s="135"/>
      <c r="G20" s="240">
        <v>11</v>
      </c>
      <c r="H20" s="240">
        <v>20</v>
      </c>
      <c r="I20" s="240">
        <v>15</v>
      </c>
      <c r="J20" s="240">
        <v>15</v>
      </c>
      <c r="K20" s="135"/>
      <c r="L20" s="100">
        <v>21</v>
      </c>
      <c r="M20" s="100">
        <v>21</v>
      </c>
      <c r="N20" s="135"/>
      <c r="O20" s="240">
        <v>14</v>
      </c>
      <c r="P20" s="240">
        <v>12</v>
      </c>
      <c r="Q20" s="135"/>
      <c r="R20" s="240"/>
      <c r="S20" s="240"/>
      <c r="T20" s="240"/>
      <c r="U20" s="135"/>
      <c r="V20" s="240"/>
      <c r="W20" s="240"/>
      <c r="X20" s="240"/>
      <c r="Y20" s="135"/>
      <c r="Z20" s="100"/>
      <c r="AA20" s="240"/>
      <c r="AB20" s="189"/>
      <c r="AC20" s="240"/>
      <c r="AD20" s="135"/>
      <c r="AE20" s="240">
        <v>96</v>
      </c>
      <c r="AF20" s="240">
        <v>102</v>
      </c>
      <c r="AG20" s="135"/>
      <c r="AH20" s="240">
        <v>80</v>
      </c>
      <c r="AI20" s="240">
        <v>111</v>
      </c>
      <c r="AJ20" s="189"/>
      <c r="AK20" s="240">
        <v>110</v>
      </c>
      <c r="AL20" s="240">
        <v>83</v>
      </c>
      <c r="AM20" s="28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G20" s="132"/>
      <c r="BH20" s="132"/>
      <c r="BI20" s="132"/>
      <c r="BJ20" s="132"/>
      <c r="BK20" s="132"/>
      <c r="BL20" s="132"/>
      <c r="BM20" s="132"/>
      <c r="BN20" s="132"/>
      <c r="BO20" s="132"/>
      <c r="BP20" s="132"/>
      <c r="BQ20" s="132"/>
      <c r="BR20" s="132"/>
      <c r="BS20" s="132"/>
      <c r="BT20" s="132"/>
      <c r="BU20" s="132"/>
      <c r="BV20" s="132"/>
      <c r="BW20" s="132"/>
      <c r="BX20" s="132"/>
      <c r="BY20" s="132"/>
      <c r="BZ20" s="132"/>
      <c r="CA20" s="97"/>
      <c r="CB20" s="97"/>
      <c r="CC20" s="97"/>
      <c r="CD20" s="97"/>
      <c r="CE20" s="97"/>
      <c r="CF20" s="97"/>
      <c r="CG20" s="97"/>
      <c r="CH20" s="97"/>
      <c r="CI20" s="97"/>
      <c r="CJ20" s="97"/>
      <c r="CK20" s="97"/>
      <c r="CL20" s="97"/>
      <c r="CM20" s="97"/>
      <c r="CN20" s="97"/>
      <c r="CO20" s="97"/>
      <c r="CP20" s="97"/>
      <c r="CQ20" s="97"/>
      <c r="CR20" s="97"/>
      <c r="CS20" s="97"/>
      <c r="CT20" s="97"/>
      <c r="CU20" s="97"/>
      <c r="CV20" s="97"/>
      <c r="CW20" s="97"/>
      <c r="CX20" s="97"/>
      <c r="CY20" s="97"/>
      <c r="CZ20" s="97"/>
      <c r="DA20" s="97"/>
      <c r="DB20" s="97"/>
      <c r="DC20" s="97"/>
      <c r="DD20" s="97"/>
      <c r="DE20" s="97"/>
      <c r="DF20" s="97"/>
      <c r="DG20" s="97"/>
      <c r="DH20" s="97"/>
      <c r="DI20" s="97"/>
      <c r="DJ20" s="97"/>
      <c r="DK20" s="97"/>
      <c r="DL20" s="97"/>
      <c r="DM20" s="97"/>
    </row>
    <row r="21" spans="1:117" ht="5.25" customHeight="1" x14ac:dyDescent="0.2">
      <c r="A21" s="130"/>
      <c r="B21" s="270"/>
      <c r="C21" s="241"/>
      <c r="D21" s="240"/>
      <c r="E21" s="240"/>
      <c r="F21" s="135"/>
      <c r="G21" s="240"/>
      <c r="H21" s="240"/>
      <c r="I21" s="240"/>
      <c r="J21" s="240"/>
      <c r="K21" s="135"/>
      <c r="L21" s="100"/>
      <c r="M21" s="100"/>
      <c r="N21" s="135"/>
      <c r="O21" s="240"/>
      <c r="P21" s="240"/>
      <c r="Q21" s="135"/>
      <c r="R21" s="240"/>
      <c r="S21" s="240"/>
      <c r="T21" s="240"/>
      <c r="U21" s="135"/>
      <c r="V21" s="240"/>
      <c r="W21" s="240"/>
      <c r="X21" s="240"/>
      <c r="Y21" s="135"/>
      <c r="Z21" s="100"/>
      <c r="AA21" s="240"/>
      <c r="AB21" s="189"/>
      <c r="AC21" s="240"/>
      <c r="AD21" s="135"/>
      <c r="AE21" s="240"/>
      <c r="AF21" s="240"/>
      <c r="AG21" s="135"/>
      <c r="AH21" s="240"/>
      <c r="AI21" s="240"/>
      <c r="AJ21" s="189"/>
      <c r="AK21" s="240"/>
      <c r="AL21" s="240"/>
      <c r="AM21" s="28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G21" s="132"/>
      <c r="BH21" s="132"/>
      <c r="BI21" s="132"/>
      <c r="BJ21" s="132"/>
      <c r="BK21" s="132"/>
      <c r="BL21" s="132"/>
      <c r="BM21" s="132"/>
      <c r="BN21" s="132"/>
      <c r="BO21" s="132"/>
      <c r="BP21" s="132"/>
      <c r="BQ21" s="132"/>
      <c r="BR21" s="132"/>
      <c r="BS21" s="132"/>
      <c r="BT21" s="132"/>
      <c r="BU21" s="132"/>
      <c r="BV21" s="132"/>
      <c r="BW21" s="132"/>
      <c r="BX21" s="132"/>
      <c r="BY21" s="132"/>
      <c r="BZ21" s="132"/>
      <c r="CA21" s="97"/>
      <c r="CB21" s="97"/>
      <c r="CC21" s="97"/>
      <c r="CD21" s="97"/>
      <c r="CE21" s="97"/>
      <c r="CF21" s="97"/>
      <c r="CG21" s="97"/>
      <c r="CH21" s="97"/>
      <c r="CI21" s="97"/>
      <c r="CJ21" s="97"/>
      <c r="CK21" s="97"/>
      <c r="CL21" s="97"/>
      <c r="CM21" s="97"/>
      <c r="CN21" s="97"/>
      <c r="CO21" s="97"/>
      <c r="CP21" s="97"/>
      <c r="CQ21" s="97"/>
      <c r="CR21" s="97"/>
      <c r="CS21" s="97"/>
      <c r="CT21" s="97"/>
      <c r="CU21" s="97"/>
      <c r="CV21" s="97"/>
      <c r="CW21" s="97"/>
      <c r="CX21" s="97"/>
      <c r="CY21" s="97"/>
      <c r="CZ21" s="97"/>
      <c r="DA21" s="97"/>
      <c r="DB21" s="97"/>
      <c r="DC21" s="97"/>
      <c r="DD21" s="97"/>
      <c r="DE21" s="97"/>
      <c r="DF21" s="97"/>
      <c r="DG21" s="97"/>
      <c r="DH21" s="97"/>
      <c r="DI21" s="97"/>
      <c r="DJ21" s="97"/>
      <c r="DK21" s="97"/>
      <c r="DL21" s="97"/>
      <c r="DM21" s="97"/>
    </row>
    <row r="22" spans="1:117" ht="15.75" customHeight="1" x14ac:dyDescent="0.2">
      <c r="A22" s="130" t="s">
        <v>58</v>
      </c>
      <c r="B22" s="270"/>
      <c r="C22" s="241"/>
      <c r="D22" s="240"/>
      <c r="E22" s="240"/>
      <c r="F22" s="135"/>
      <c r="G22" s="240"/>
      <c r="H22" s="240"/>
      <c r="I22" s="240"/>
      <c r="J22" s="240"/>
      <c r="K22" s="135"/>
      <c r="L22" s="100"/>
      <c r="M22" s="100"/>
      <c r="N22" s="135"/>
      <c r="O22" s="240"/>
      <c r="P22" s="240"/>
      <c r="Q22" s="135"/>
      <c r="R22" s="240">
        <v>280</v>
      </c>
      <c r="S22" s="240">
        <v>189</v>
      </c>
      <c r="T22" s="240">
        <v>134</v>
      </c>
      <c r="U22" s="135"/>
      <c r="V22" s="240"/>
      <c r="W22" s="240"/>
      <c r="X22" s="240"/>
      <c r="Y22" s="135"/>
      <c r="Z22" s="100"/>
      <c r="AA22" s="240"/>
      <c r="AB22" s="189"/>
      <c r="AC22" s="240"/>
      <c r="AD22" s="135"/>
      <c r="AE22" s="240">
        <v>184</v>
      </c>
      <c r="AF22" s="240">
        <v>194</v>
      </c>
      <c r="AG22" s="135"/>
      <c r="AH22" s="240">
        <v>196</v>
      </c>
      <c r="AI22" s="240">
        <v>174</v>
      </c>
      <c r="AJ22" s="189"/>
      <c r="AK22" s="240">
        <v>233</v>
      </c>
      <c r="AL22" s="240">
        <v>141</v>
      </c>
      <c r="AM22" s="28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G22" s="132"/>
      <c r="BH22" s="132"/>
      <c r="BI22" s="132"/>
      <c r="BJ22" s="132"/>
      <c r="BK22" s="132"/>
      <c r="BL22" s="132"/>
      <c r="BM22" s="132"/>
      <c r="BN22" s="132"/>
      <c r="BO22" s="132"/>
      <c r="BP22" s="132"/>
      <c r="BQ22" s="132"/>
      <c r="BR22" s="132"/>
      <c r="BS22" s="132"/>
      <c r="BT22" s="132"/>
      <c r="BU22" s="132"/>
      <c r="BV22" s="132"/>
      <c r="BW22" s="132"/>
      <c r="BX22" s="132"/>
      <c r="BY22" s="132"/>
      <c r="BZ22" s="132"/>
      <c r="CA22" s="97"/>
      <c r="CB22" s="97"/>
      <c r="CC22" s="97"/>
      <c r="CD22" s="97"/>
      <c r="CE22" s="97"/>
      <c r="CF22" s="97"/>
      <c r="CG22" s="97"/>
      <c r="CH22" s="97"/>
      <c r="CI22" s="97"/>
      <c r="CJ22" s="97"/>
      <c r="CK22" s="97"/>
      <c r="CL22" s="97"/>
      <c r="CM22" s="97"/>
      <c r="CN22" s="97"/>
      <c r="CO22" s="97"/>
      <c r="CP22" s="97"/>
      <c r="CQ22" s="97"/>
      <c r="CR22" s="97"/>
      <c r="CS22" s="97"/>
      <c r="CT22" s="97"/>
      <c r="CU22" s="97"/>
      <c r="CV22" s="97"/>
      <c r="CW22" s="97"/>
      <c r="CX22" s="97"/>
      <c r="CY22" s="97"/>
      <c r="CZ22" s="97"/>
      <c r="DA22" s="97"/>
      <c r="DB22" s="97"/>
      <c r="DC22" s="97"/>
      <c r="DD22" s="97"/>
      <c r="DE22" s="97"/>
      <c r="DF22" s="97"/>
      <c r="DG22" s="97"/>
      <c r="DH22" s="97"/>
      <c r="DI22" s="97"/>
      <c r="DJ22" s="97"/>
      <c r="DK22" s="97"/>
      <c r="DL22" s="97"/>
      <c r="DM22" s="97"/>
    </row>
    <row r="23" spans="1:117" ht="14.25" customHeight="1" x14ac:dyDescent="0.2">
      <c r="A23" s="130" t="s">
        <v>10</v>
      </c>
      <c r="B23" s="270"/>
      <c r="C23" s="241"/>
      <c r="D23" s="240"/>
      <c r="E23" s="240"/>
      <c r="F23" s="135"/>
      <c r="G23" s="240"/>
      <c r="H23" s="240"/>
      <c r="I23" s="240"/>
      <c r="J23" s="240"/>
      <c r="K23" s="135"/>
      <c r="L23" s="100"/>
      <c r="M23" s="100"/>
      <c r="N23" s="135"/>
      <c r="O23" s="240"/>
      <c r="P23" s="240"/>
      <c r="Q23" s="135"/>
      <c r="R23" s="240"/>
      <c r="S23" s="240"/>
      <c r="T23" s="240"/>
      <c r="U23" s="135"/>
      <c r="V23" s="240"/>
      <c r="W23" s="240"/>
      <c r="X23" s="240"/>
      <c r="Y23" s="135"/>
      <c r="Z23" s="100">
        <v>214</v>
      </c>
      <c r="AA23" s="240">
        <v>173</v>
      </c>
      <c r="AB23" s="189"/>
      <c r="AC23" s="240">
        <v>214</v>
      </c>
      <c r="AD23" s="135"/>
      <c r="AE23" s="240">
        <v>70</v>
      </c>
      <c r="AF23" s="240">
        <v>179</v>
      </c>
      <c r="AG23" s="135"/>
      <c r="AH23" s="240">
        <v>75</v>
      </c>
      <c r="AI23" s="240">
        <v>170</v>
      </c>
      <c r="AJ23" s="189"/>
      <c r="AK23" s="240">
        <v>95</v>
      </c>
      <c r="AL23" s="240">
        <v>151</v>
      </c>
      <c r="AM23" s="28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G23" s="132"/>
      <c r="BH23" s="132"/>
      <c r="BI23" s="132"/>
      <c r="BJ23" s="132"/>
      <c r="BK23" s="132"/>
      <c r="BL23" s="132"/>
      <c r="BM23" s="132"/>
      <c r="BN23" s="132"/>
      <c r="BO23" s="132"/>
      <c r="BP23" s="132"/>
      <c r="BQ23" s="132"/>
      <c r="BR23" s="132"/>
      <c r="BS23" s="132"/>
      <c r="BT23" s="132"/>
      <c r="BU23" s="132"/>
      <c r="BV23" s="132"/>
      <c r="BW23" s="132"/>
      <c r="BX23" s="132"/>
      <c r="BY23" s="132"/>
      <c r="BZ23" s="132"/>
      <c r="CA23" s="97"/>
      <c r="CB23" s="97"/>
      <c r="CC23" s="97"/>
      <c r="CD23" s="97"/>
      <c r="CE23" s="97"/>
      <c r="CF23" s="97"/>
      <c r="CG23" s="97"/>
      <c r="CH23" s="97"/>
      <c r="CI23" s="97"/>
      <c r="CJ23" s="97"/>
      <c r="CK23" s="97"/>
      <c r="CL23" s="97"/>
      <c r="CM23" s="97"/>
      <c r="CN23" s="97"/>
      <c r="CO23" s="97"/>
      <c r="CP23" s="97"/>
      <c r="CQ23" s="97"/>
      <c r="CR23" s="97"/>
      <c r="CS23" s="97"/>
      <c r="CT23" s="97"/>
      <c r="CU23" s="97"/>
      <c r="CV23" s="97"/>
      <c r="CW23" s="97"/>
      <c r="CX23" s="97"/>
      <c r="CY23" s="97"/>
      <c r="CZ23" s="97"/>
      <c r="DA23" s="97"/>
      <c r="DB23" s="97"/>
      <c r="DC23" s="97"/>
      <c r="DD23" s="97"/>
      <c r="DE23" s="97"/>
      <c r="DF23" s="97"/>
      <c r="DG23" s="97"/>
      <c r="DH23" s="97"/>
      <c r="DI23" s="97"/>
      <c r="DJ23" s="97"/>
      <c r="DK23" s="97"/>
      <c r="DL23" s="97"/>
      <c r="DM23" s="97"/>
    </row>
    <row r="24" spans="1:117" ht="7.5" customHeight="1" x14ac:dyDescent="0.2">
      <c r="A24" s="130"/>
      <c r="B24" s="270"/>
      <c r="C24" s="241"/>
      <c r="D24" s="240"/>
      <c r="E24" s="240"/>
      <c r="F24" s="135"/>
      <c r="G24" s="240"/>
      <c r="H24" s="240"/>
      <c r="I24" s="240"/>
      <c r="J24" s="240"/>
      <c r="K24" s="135"/>
      <c r="L24" s="100"/>
      <c r="M24" s="100"/>
      <c r="N24" s="135"/>
      <c r="O24" s="240"/>
      <c r="P24" s="240"/>
      <c r="Q24" s="135"/>
      <c r="R24" s="240"/>
      <c r="S24" s="240"/>
      <c r="T24" s="240"/>
      <c r="U24" s="135"/>
      <c r="V24" s="240"/>
      <c r="W24" s="240"/>
      <c r="X24" s="240"/>
      <c r="Y24" s="135"/>
      <c r="Z24" s="100"/>
      <c r="AA24" s="240"/>
      <c r="AB24" s="189"/>
      <c r="AC24" s="240"/>
      <c r="AD24" s="135"/>
      <c r="AE24" s="240"/>
      <c r="AF24" s="240"/>
      <c r="AG24" s="135"/>
      <c r="AH24" s="240"/>
      <c r="AI24" s="240"/>
      <c r="AJ24" s="189"/>
      <c r="AK24" s="240"/>
      <c r="AL24" s="240"/>
      <c r="AM24" s="28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G24" s="132"/>
      <c r="BH24" s="132"/>
      <c r="BI24" s="132"/>
      <c r="BJ24" s="132"/>
      <c r="BK24" s="132"/>
      <c r="BL24" s="132"/>
      <c r="BM24" s="132"/>
      <c r="BN24" s="132"/>
      <c r="BO24" s="132"/>
      <c r="BP24" s="132"/>
      <c r="BQ24" s="132"/>
      <c r="BR24" s="132"/>
      <c r="BS24" s="132"/>
      <c r="BT24" s="132"/>
      <c r="BU24" s="132"/>
      <c r="BV24" s="132"/>
      <c r="BW24" s="132"/>
      <c r="BX24" s="132"/>
      <c r="BY24" s="132"/>
      <c r="BZ24" s="132"/>
      <c r="CA24" s="97"/>
      <c r="CB24" s="97"/>
      <c r="CC24" s="97"/>
      <c r="CD24" s="97"/>
      <c r="CE24" s="97"/>
      <c r="CF24" s="97"/>
      <c r="CG24" s="97"/>
      <c r="CH24" s="97"/>
      <c r="CI24" s="97"/>
      <c r="CJ24" s="97"/>
      <c r="CK24" s="97"/>
      <c r="CL24" s="97"/>
      <c r="CM24" s="97"/>
      <c r="CN24" s="97"/>
      <c r="CO24" s="97"/>
      <c r="CP24" s="97"/>
      <c r="CQ24" s="97"/>
      <c r="CR24" s="97"/>
      <c r="CS24" s="97"/>
      <c r="CT24" s="97"/>
      <c r="CU24" s="97"/>
      <c r="CV24" s="97"/>
      <c r="CW24" s="97"/>
      <c r="CX24" s="97"/>
      <c r="CY24" s="97"/>
      <c r="CZ24" s="97"/>
      <c r="DA24" s="97"/>
      <c r="DB24" s="97"/>
      <c r="DC24" s="97"/>
      <c r="DD24" s="97"/>
      <c r="DE24" s="97"/>
      <c r="DF24" s="97"/>
      <c r="DG24" s="97"/>
      <c r="DH24" s="97"/>
      <c r="DI24" s="97"/>
      <c r="DJ24" s="97"/>
      <c r="DK24" s="97"/>
      <c r="DL24" s="97"/>
      <c r="DM24" s="97"/>
    </row>
    <row r="25" spans="1:117" ht="15.75" customHeight="1" thickBot="1" x14ac:dyDescent="0.25">
      <c r="A25" s="134" t="s">
        <v>66</v>
      </c>
      <c r="B25" s="271"/>
      <c r="C25" s="241"/>
      <c r="D25" s="240"/>
      <c r="E25" s="240"/>
      <c r="F25" s="135"/>
      <c r="G25" s="240"/>
      <c r="H25" s="240"/>
      <c r="I25" s="240"/>
      <c r="J25" s="240"/>
      <c r="K25" s="135"/>
      <c r="L25" s="100"/>
      <c r="M25" s="100"/>
      <c r="N25" s="135"/>
      <c r="O25" s="240"/>
      <c r="P25" s="240"/>
      <c r="Q25" s="135"/>
      <c r="R25" s="240"/>
      <c r="S25" s="240"/>
      <c r="T25" s="240"/>
      <c r="U25" s="135"/>
      <c r="V25" s="240"/>
      <c r="W25" s="240"/>
      <c r="X25" s="240"/>
      <c r="Y25" s="135"/>
      <c r="Z25" s="100"/>
      <c r="AA25" s="240"/>
      <c r="AB25" s="189"/>
      <c r="AC25" s="240"/>
      <c r="AD25" s="135"/>
      <c r="AE25" s="240"/>
      <c r="AF25" s="240"/>
      <c r="AG25" s="135"/>
      <c r="AH25" s="240"/>
      <c r="AI25" s="240"/>
      <c r="AJ25" s="189"/>
      <c r="AK25" s="240"/>
      <c r="AL25" s="240"/>
      <c r="AM25" s="28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G25" s="132"/>
      <c r="BH25" s="132"/>
      <c r="BI25" s="132"/>
      <c r="BJ25" s="132"/>
      <c r="BK25" s="132"/>
      <c r="BL25" s="132"/>
      <c r="BM25" s="132"/>
      <c r="BN25" s="132"/>
      <c r="BO25" s="132"/>
      <c r="BP25" s="132"/>
      <c r="BQ25" s="132"/>
      <c r="BR25" s="132"/>
      <c r="BS25" s="132"/>
      <c r="BT25" s="132"/>
      <c r="BU25" s="132"/>
      <c r="BV25" s="132"/>
      <c r="BW25" s="132"/>
      <c r="BX25" s="132"/>
      <c r="BY25" s="132"/>
      <c r="BZ25" s="132"/>
      <c r="CA25" s="97"/>
      <c r="CB25" s="97"/>
      <c r="CC25" s="97"/>
      <c r="CD25" s="97"/>
      <c r="CE25" s="97"/>
      <c r="CF25" s="97"/>
      <c r="CG25" s="97"/>
      <c r="CH25" s="97"/>
      <c r="CI25" s="97"/>
      <c r="CJ25" s="97"/>
      <c r="CK25" s="97"/>
      <c r="CL25" s="97"/>
      <c r="CM25" s="97"/>
      <c r="CN25" s="97"/>
      <c r="CO25" s="97"/>
      <c r="CP25" s="97"/>
      <c r="CQ25" s="97"/>
      <c r="CR25" s="97"/>
      <c r="CS25" s="97"/>
      <c r="CT25" s="97"/>
      <c r="CU25" s="97"/>
      <c r="CV25" s="97"/>
      <c r="CW25" s="97"/>
      <c r="CX25" s="97"/>
      <c r="CY25" s="97"/>
      <c r="CZ25" s="97"/>
      <c r="DA25" s="97"/>
      <c r="DB25" s="97"/>
      <c r="DC25" s="97"/>
      <c r="DD25" s="97"/>
      <c r="DE25" s="97"/>
      <c r="DF25" s="97"/>
      <c r="DG25" s="97"/>
      <c r="DH25" s="97"/>
      <c r="DI25" s="97"/>
      <c r="DJ25" s="97"/>
      <c r="DK25" s="97"/>
      <c r="DL25" s="97"/>
      <c r="DM25" s="97"/>
    </row>
    <row r="26" spans="1:117" ht="15.75" customHeight="1" x14ac:dyDescent="0.2">
      <c r="A26" s="130" t="s">
        <v>67</v>
      </c>
      <c r="B26" s="270"/>
      <c r="C26" s="241"/>
      <c r="D26" s="240"/>
      <c r="E26" s="240"/>
      <c r="F26" s="135"/>
      <c r="G26" s="240"/>
      <c r="H26" s="240"/>
      <c r="I26" s="240"/>
      <c r="J26" s="240"/>
      <c r="K26" s="135"/>
      <c r="L26" s="100"/>
      <c r="M26" s="100"/>
      <c r="N26" s="135"/>
      <c r="O26" s="240"/>
      <c r="P26" s="240"/>
      <c r="Q26" s="135"/>
      <c r="R26" s="240"/>
      <c r="S26" s="240"/>
      <c r="T26" s="240"/>
      <c r="U26" s="135"/>
      <c r="V26" s="240"/>
      <c r="W26" s="240"/>
      <c r="X26" s="240"/>
      <c r="Y26" s="135"/>
      <c r="Z26" s="100">
        <v>6</v>
      </c>
      <c r="AA26" s="240">
        <v>6</v>
      </c>
      <c r="AB26" s="189"/>
      <c r="AC26" s="240">
        <v>6</v>
      </c>
      <c r="AD26" s="135"/>
      <c r="AE26" s="240"/>
      <c r="AF26" s="240"/>
      <c r="AG26" s="135"/>
      <c r="AH26" s="240"/>
      <c r="AI26" s="240"/>
      <c r="AJ26" s="189"/>
      <c r="AK26" s="240"/>
      <c r="AL26" s="240"/>
      <c r="AM26" s="28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G26" s="132"/>
      <c r="BH26" s="132"/>
      <c r="BI26" s="132"/>
      <c r="BJ26" s="132"/>
      <c r="BK26" s="132"/>
      <c r="BL26" s="132"/>
      <c r="BM26" s="132"/>
      <c r="BN26" s="132"/>
      <c r="BO26" s="132"/>
      <c r="BP26" s="132"/>
      <c r="BQ26" s="132"/>
      <c r="BR26" s="132"/>
      <c r="BS26" s="132"/>
      <c r="BT26" s="132"/>
      <c r="BU26" s="132"/>
      <c r="BV26" s="132"/>
      <c r="BW26" s="132"/>
      <c r="BX26" s="132"/>
      <c r="BY26" s="132"/>
      <c r="BZ26" s="132"/>
      <c r="CA26" s="97"/>
      <c r="CB26" s="97"/>
      <c r="CC26" s="97"/>
      <c r="CD26" s="97"/>
      <c r="CE26" s="97"/>
      <c r="CF26" s="97"/>
      <c r="CG26" s="97"/>
      <c r="CH26" s="97"/>
      <c r="CI26" s="97"/>
      <c r="CJ26" s="97"/>
      <c r="CK26" s="97"/>
      <c r="CL26" s="97"/>
      <c r="CM26" s="97"/>
      <c r="CN26" s="97"/>
      <c r="CO26" s="97"/>
      <c r="CP26" s="97"/>
      <c r="CQ26" s="97"/>
      <c r="CR26" s="97"/>
      <c r="CS26" s="97"/>
      <c r="CT26" s="97"/>
      <c r="CU26" s="97"/>
      <c r="CV26" s="97"/>
      <c r="CW26" s="97"/>
      <c r="CX26" s="97"/>
      <c r="CY26" s="97"/>
      <c r="CZ26" s="97"/>
      <c r="DA26" s="97"/>
      <c r="DB26" s="97"/>
      <c r="DC26" s="97"/>
      <c r="DD26" s="97"/>
      <c r="DE26" s="97"/>
      <c r="DF26" s="97"/>
      <c r="DG26" s="97"/>
      <c r="DH26" s="97"/>
      <c r="DI26" s="97"/>
      <c r="DJ26" s="97"/>
      <c r="DK26" s="97"/>
      <c r="DL26" s="97"/>
      <c r="DM26" s="97"/>
    </row>
    <row r="27" spans="1:117" ht="15.75" customHeight="1" thickBot="1" x14ac:dyDescent="0.25">
      <c r="A27" s="187" t="s">
        <v>80</v>
      </c>
      <c r="B27" s="271"/>
      <c r="C27" s="241"/>
      <c r="D27" s="240"/>
      <c r="E27" s="240"/>
      <c r="F27" s="135"/>
      <c r="G27" s="240"/>
      <c r="H27" s="240"/>
      <c r="I27" s="240"/>
      <c r="J27" s="240"/>
      <c r="K27" s="135"/>
      <c r="L27" s="100"/>
      <c r="M27" s="100"/>
      <c r="N27" s="135"/>
      <c r="O27" s="240"/>
      <c r="P27" s="240"/>
      <c r="Q27" s="135"/>
      <c r="R27" s="240"/>
      <c r="S27" s="240"/>
      <c r="T27" s="240"/>
      <c r="U27" s="135"/>
      <c r="V27" s="240"/>
      <c r="W27" s="240"/>
      <c r="X27" s="240"/>
      <c r="Y27" s="135"/>
      <c r="Z27" s="100"/>
      <c r="AA27" s="240"/>
      <c r="AB27" s="189"/>
      <c r="AC27" s="240"/>
      <c r="AD27" s="135"/>
      <c r="AE27" s="240"/>
      <c r="AF27" s="240"/>
      <c r="AG27" s="135"/>
      <c r="AH27" s="240"/>
      <c r="AI27" s="240"/>
      <c r="AJ27" s="189"/>
      <c r="AK27" s="240"/>
      <c r="AL27" s="240"/>
      <c r="AM27" s="28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G27" s="132"/>
      <c r="BH27" s="132"/>
      <c r="BI27" s="132"/>
      <c r="BJ27" s="132"/>
      <c r="BK27" s="132"/>
      <c r="BL27" s="132"/>
      <c r="BM27" s="132"/>
      <c r="BN27" s="132"/>
      <c r="BO27" s="132"/>
      <c r="BP27" s="132"/>
      <c r="BQ27" s="132"/>
      <c r="BR27" s="132"/>
      <c r="BS27" s="132"/>
      <c r="BT27" s="132"/>
      <c r="BU27" s="132"/>
      <c r="BV27" s="132"/>
      <c r="BW27" s="132"/>
      <c r="BX27" s="132"/>
      <c r="BY27" s="132"/>
      <c r="BZ27" s="132"/>
      <c r="CA27" s="97"/>
      <c r="CB27" s="97"/>
      <c r="CC27" s="97"/>
      <c r="CD27" s="97"/>
      <c r="CE27" s="97"/>
      <c r="CF27" s="97"/>
      <c r="CG27" s="97"/>
      <c r="CH27" s="97"/>
      <c r="CI27" s="97"/>
      <c r="CJ27" s="97"/>
      <c r="CK27" s="97"/>
      <c r="CL27" s="97"/>
      <c r="CM27" s="97"/>
      <c r="CN27" s="97"/>
      <c r="CO27" s="97"/>
      <c r="CP27" s="97"/>
      <c r="CQ27" s="97"/>
      <c r="CR27" s="97"/>
      <c r="CS27" s="97"/>
      <c r="CT27" s="97"/>
      <c r="CU27" s="97"/>
      <c r="CV27" s="97"/>
      <c r="CW27" s="97"/>
      <c r="CX27" s="97"/>
      <c r="CY27" s="97"/>
      <c r="CZ27" s="97"/>
      <c r="DA27" s="97"/>
      <c r="DB27" s="97"/>
      <c r="DC27" s="97"/>
      <c r="DD27" s="97"/>
      <c r="DE27" s="97"/>
      <c r="DF27" s="97"/>
      <c r="DG27" s="97"/>
      <c r="DH27" s="97"/>
      <c r="DI27" s="97"/>
      <c r="DJ27" s="97"/>
      <c r="DK27" s="97"/>
      <c r="DL27" s="97"/>
      <c r="DM27" s="97"/>
    </row>
    <row r="28" spans="1:117" ht="15.75" customHeight="1" x14ac:dyDescent="0.2">
      <c r="A28" s="130" t="s">
        <v>81</v>
      </c>
      <c r="B28" s="270"/>
      <c r="C28" s="241"/>
      <c r="D28" s="240"/>
      <c r="E28" s="240"/>
      <c r="F28" s="135"/>
      <c r="G28" s="240"/>
      <c r="H28" s="240"/>
      <c r="I28" s="240"/>
      <c r="J28" s="240"/>
      <c r="K28" s="135"/>
      <c r="L28" s="100"/>
      <c r="M28" s="100"/>
      <c r="N28" s="135"/>
      <c r="O28" s="240"/>
      <c r="P28" s="240"/>
      <c r="Q28" s="135"/>
      <c r="R28" s="240"/>
      <c r="S28" s="240"/>
      <c r="T28" s="240"/>
      <c r="U28" s="135"/>
      <c r="V28" s="240"/>
      <c r="W28" s="240"/>
      <c r="X28" s="240"/>
      <c r="Y28" s="135"/>
      <c r="Z28" s="100">
        <v>207</v>
      </c>
      <c r="AA28" s="240">
        <v>150</v>
      </c>
      <c r="AB28" s="189"/>
      <c r="AC28" s="240">
        <v>213</v>
      </c>
      <c r="AD28" s="135"/>
      <c r="AE28" s="240"/>
      <c r="AF28" s="240"/>
      <c r="AG28" s="135"/>
      <c r="AH28" s="240"/>
      <c r="AI28" s="240"/>
      <c r="AJ28" s="189"/>
      <c r="AK28" s="240"/>
      <c r="AL28" s="240"/>
      <c r="AM28" s="28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G28" s="132"/>
      <c r="BH28" s="132"/>
      <c r="BI28" s="132"/>
      <c r="BJ28" s="132"/>
      <c r="BK28" s="132"/>
      <c r="BL28" s="132"/>
      <c r="BM28" s="132"/>
      <c r="BN28" s="132"/>
      <c r="BO28" s="132"/>
      <c r="BP28" s="132"/>
      <c r="BQ28" s="132"/>
      <c r="BR28" s="132"/>
      <c r="BS28" s="132"/>
      <c r="BT28" s="132"/>
      <c r="BU28" s="132"/>
      <c r="BV28" s="132"/>
      <c r="BW28" s="132"/>
      <c r="BX28" s="132"/>
      <c r="BY28" s="132"/>
      <c r="BZ28" s="132"/>
      <c r="CA28" s="97"/>
      <c r="CB28" s="97"/>
      <c r="CC28" s="97"/>
      <c r="CD28" s="97"/>
      <c r="CE28" s="97"/>
      <c r="CF28" s="97"/>
      <c r="CG28" s="97"/>
      <c r="CH28" s="97"/>
      <c r="CI28" s="97"/>
      <c r="CJ28" s="97"/>
      <c r="CK28" s="97"/>
      <c r="CL28" s="97"/>
      <c r="CM28" s="97"/>
      <c r="CN28" s="97"/>
      <c r="CO28" s="97"/>
      <c r="CP28" s="97"/>
      <c r="CQ28" s="97"/>
      <c r="CR28" s="97"/>
      <c r="CS28" s="97"/>
      <c r="CT28" s="97"/>
      <c r="CU28" s="97"/>
      <c r="CV28" s="97"/>
      <c r="CW28" s="97"/>
      <c r="CX28" s="97"/>
      <c r="CY28" s="97"/>
      <c r="CZ28" s="97"/>
      <c r="DA28" s="97"/>
      <c r="DB28" s="97"/>
      <c r="DC28" s="97"/>
      <c r="DD28" s="97"/>
      <c r="DE28" s="97"/>
      <c r="DF28" s="97"/>
      <c r="DG28" s="97"/>
      <c r="DH28" s="97"/>
      <c r="DI28" s="97"/>
      <c r="DJ28" s="97"/>
      <c r="DK28" s="97"/>
      <c r="DL28" s="97"/>
      <c r="DM28" s="97"/>
    </row>
    <row r="29" spans="1:117" ht="15.75" customHeight="1" x14ac:dyDescent="0.2">
      <c r="A29" s="130" t="s">
        <v>202</v>
      </c>
      <c r="B29" s="270"/>
      <c r="C29" s="241"/>
      <c r="D29" s="240"/>
      <c r="E29" s="240"/>
      <c r="F29" s="135"/>
      <c r="G29" s="240"/>
      <c r="H29" s="240"/>
      <c r="I29" s="240"/>
      <c r="J29" s="240"/>
      <c r="K29" s="135"/>
      <c r="L29" s="100"/>
      <c r="M29" s="100"/>
      <c r="N29" s="135"/>
      <c r="O29" s="240"/>
      <c r="P29" s="240"/>
      <c r="Q29" s="135"/>
      <c r="R29" s="240"/>
      <c r="S29" s="240" t="s">
        <v>73</v>
      </c>
      <c r="T29" s="240"/>
      <c r="U29" s="135"/>
      <c r="V29" s="240"/>
      <c r="W29" s="240"/>
      <c r="X29" s="240"/>
      <c r="Y29" s="135"/>
      <c r="Z29" s="100">
        <v>1</v>
      </c>
      <c r="AA29" s="240">
        <v>2</v>
      </c>
      <c r="AB29" s="189"/>
      <c r="AC29" s="240">
        <v>1</v>
      </c>
      <c r="AD29" s="135"/>
      <c r="AE29" s="240"/>
      <c r="AF29" s="240"/>
      <c r="AG29" s="135"/>
      <c r="AH29" s="240"/>
      <c r="AI29" s="240"/>
      <c r="AJ29" s="189"/>
      <c r="AK29" s="240"/>
      <c r="AL29" s="240"/>
      <c r="AM29" s="28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G29" s="132"/>
      <c r="BH29" s="132"/>
      <c r="BI29" s="132"/>
      <c r="BJ29" s="132"/>
      <c r="BK29" s="132"/>
      <c r="BL29" s="132"/>
      <c r="BM29" s="132"/>
      <c r="BN29" s="132"/>
      <c r="BO29" s="132"/>
      <c r="BP29" s="132"/>
      <c r="BQ29" s="132"/>
      <c r="BR29" s="132"/>
      <c r="BS29" s="132"/>
      <c r="BT29" s="132"/>
      <c r="BU29" s="132"/>
      <c r="BV29" s="132"/>
      <c r="BW29" s="132"/>
      <c r="BX29" s="132"/>
      <c r="BY29" s="132"/>
      <c r="BZ29" s="132"/>
      <c r="CA29" s="97"/>
      <c r="CB29" s="97"/>
      <c r="CC29" s="97"/>
      <c r="CD29" s="97"/>
      <c r="CE29" s="97"/>
      <c r="CF29" s="97"/>
      <c r="CG29" s="97"/>
      <c r="CH29" s="97"/>
      <c r="CI29" s="97"/>
      <c r="CJ29" s="97"/>
      <c r="CK29" s="97"/>
      <c r="CL29" s="97"/>
      <c r="CM29" s="97"/>
      <c r="CN29" s="97"/>
      <c r="CO29" s="97"/>
      <c r="CP29" s="97"/>
      <c r="CQ29" s="97"/>
      <c r="CR29" s="97"/>
      <c r="CS29" s="97"/>
      <c r="CT29" s="97"/>
      <c r="CU29" s="97"/>
      <c r="CV29" s="97"/>
      <c r="CW29" s="97"/>
      <c r="CX29" s="97"/>
      <c r="CY29" s="97"/>
      <c r="CZ29" s="97"/>
      <c r="DA29" s="97"/>
      <c r="DB29" s="97"/>
      <c r="DC29" s="97"/>
      <c r="DD29" s="97"/>
      <c r="DE29" s="97"/>
      <c r="DF29" s="97"/>
      <c r="DG29" s="97"/>
      <c r="DH29" s="97"/>
      <c r="DI29" s="97"/>
      <c r="DJ29" s="97"/>
      <c r="DK29" s="97"/>
      <c r="DL29" s="97"/>
      <c r="DM29" s="97"/>
    </row>
    <row r="30" spans="1:117" ht="15.75" customHeight="1" thickBot="1" x14ac:dyDescent="0.25">
      <c r="A30" s="187" t="s">
        <v>79</v>
      </c>
      <c r="B30" s="271"/>
      <c r="C30" s="133"/>
      <c r="D30" s="238"/>
      <c r="E30" s="238"/>
      <c r="F30" s="131"/>
      <c r="G30" s="238"/>
      <c r="H30" s="238"/>
      <c r="I30" s="238"/>
      <c r="J30" s="238"/>
      <c r="K30" s="131"/>
      <c r="L30" s="255"/>
      <c r="M30" s="255"/>
      <c r="N30" s="131"/>
      <c r="O30" s="238"/>
      <c r="P30" s="238"/>
      <c r="Q30" s="131"/>
      <c r="R30" s="238"/>
      <c r="S30" s="238"/>
      <c r="T30" s="238"/>
      <c r="U30" s="131"/>
      <c r="V30" s="238"/>
      <c r="W30" s="238"/>
      <c r="X30" s="238"/>
      <c r="Y30" s="131"/>
      <c r="Z30" s="255"/>
      <c r="AA30" s="238"/>
      <c r="AB30" s="190"/>
      <c r="AC30" s="238"/>
      <c r="AD30" s="131"/>
      <c r="AE30" s="238"/>
      <c r="AF30" s="238"/>
      <c r="AG30" s="131"/>
      <c r="AH30" s="238"/>
      <c r="AI30" s="238"/>
      <c r="AJ30" s="190"/>
      <c r="AK30" s="238"/>
      <c r="AL30" s="238"/>
      <c r="AM30" s="281"/>
      <c r="AN30" s="255"/>
      <c r="AO30" s="255"/>
      <c r="AP30" s="255"/>
      <c r="AQ30" s="255"/>
      <c r="AR30" s="255"/>
      <c r="AS30" s="255"/>
      <c r="BG30" s="132"/>
      <c r="BH30" s="132"/>
      <c r="BI30" s="132"/>
      <c r="BJ30" s="132"/>
      <c r="BK30" s="132"/>
      <c r="BL30" s="132"/>
      <c r="BM30" s="132"/>
      <c r="BN30" s="132"/>
      <c r="BO30" s="132"/>
      <c r="BP30" s="132"/>
      <c r="BQ30" s="132"/>
      <c r="BR30" s="132"/>
      <c r="BS30" s="132"/>
      <c r="BT30" s="132"/>
      <c r="BU30" s="132"/>
      <c r="BV30" s="132"/>
      <c r="BW30" s="132"/>
      <c r="BX30" s="132"/>
      <c r="BY30" s="132"/>
      <c r="BZ30" s="132"/>
      <c r="CA30" s="97"/>
      <c r="CB30" s="97"/>
      <c r="CC30" s="97"/>
      <c r="CD30" s="97"/>
      <c r="CE30" s="97"/>
      <c r="CF30" s="97"/>
      <c r="CG30" s="97"/>
      <c r="CH30" s="97"/>
      <c r="CI30" s="97"/>
      <c r="CJ30" s="97"/>
      <c r="CK30" s="97"/>
      <c r="CL30" s="97"/>
      <c r="CM30" s="97"/>
      <c r="CN30" s="97"/>
      <c r="CO30" s="97"/>
      <c r="CP30" s="97"/>
      <c r="CQ30" s="97"/>
      <c r="CR30" s="97"/>
      <c r="CS30" s="97"/>
      <c r="CT30" s="97"/>
      <c r="CU30" s="97"/>
      <c r="CV30" s="97"/>
      <c r="CW30" s="97"/>
      <c r="CX30" s="97"/>
      <c r="CY30" s="97"/>
      <c r="CZ30" s="97"/>
      <c r="DA30" s="97"/>
      <c r="DB30" s="97"/>
      <c r="DC30" s="97"/>
      <c r="DD30" s="97"/>
      <c r="DE30" s="97"/>
      <c r="DF30" s="97"/>
      <c r="DG30" s="97"/>
      <c r="DH30" s="97"/>
      <c r="DI30" s="97"/>
      <c r="DJ30" s="97"/>
      <c r="DK30" s="97"/>
      <c r="DL30" s="97"/>
      <c r="DM30" s="97"/>
    </row>
    <row r="31" spans="1:117" ht="15.75" customHeight="1" x14ac:dyDescent="0.2">
      <c r="A31" s="130" t="s">
        <v>82</v>
      </c>
      <c r="B31" s="270"/>
      <c r="C31" s="133"/>
      <c r="D31" s="238"/>
      <c r="E31" s="238"/>
      <c r="F31" s="131"/>
      <c r="G31" s="238"/>
      <c r="H31" s="238"/>
      <c r="I31" s="238"/>
      <c r="J31" s="238"/>
      <c r="K31" s="131"/>
      <c r="L31" s="255"/>
      <c r="M31" s="255"/>
      <c r="N31" s="131"/>
      <c r="O31" s="238"/>
      <c r="P31" s="238"/>
      <c r="Q31" s="131"/>
      <c r="R31" s="238"/>
      <c r="S31" s="238"/>
      <c r="T31" s="238"/>
      <c r="U31" s="131"/>
      <c r="V31" s="238"/>
      <c r="W31" s="238"/>
      <c r="X31" s="238"/>
      <c r="Y31" s="131"/>
      <c r="Z31" s="294">
        <v>5</v>
      </c>
      <c r="AA31" s="295">
        <v>3</v>
      </c>
      <c r="AB31" s="189"/>
      <c r="AC31" s="295">
        <v>4</v>
      </c>
      <c r="AD31" s="131"/>
      <c r="AE31" s="238"/>
      <c r="AF31" s="238"/>
      <c r="AG31" s="131"/>
      <c r="AH31" s="238"/>
      <c r="AI31" s="238"/>
      <c r="AJ31" s="190"/>
      <c r="AK31" s="238"/>
      <c r="AL31" s="238"/>
      <c r="AM31" s="281"/>
      <c r="AN31" s="255"/>
      <c r="AO31" s="255"/>
      <c r="AP31" s="255"/>
      <c r="AQ31" s="255"/>
      <c r="AR31" s="255"/>
      <c r="AS31" s="255"/>
      <c r="BG31" s="132"/>
      <c r="BH31" s="132"/>
      <c r="BI31" s="132"/>
      <c r="BJ31" s="132"/>
      <c r="BK31" s="132"/>
      <c r="BL31" s="132"/>
      <c r="BM31" s="132"/>
      <c r="BN31" s="132"/>
      <c r="BO31" s="132"/>
      <c r="BP31" s="132"/>
      <c r="BQ31" s="132"/>
      <c r="BR31" s="132"/>
      <c r="BS31" s="132"/>
      <c r="BT31" s="132"/>
      <c r="BU31" s="132"/>
      <c r="BV31" s="132"/>
      <c r="BW31" s="132"/>
      <c r="BX31" s="132"/>
      <c r="BY31" s="132"/>
      <c r="BZ31" s="132"/>
      <c r="CA31" s="97"/>
      <c r="CB31" s="97"/>
      <c r="CC31" s="97"/>
      <c r="CD31" s="97"/>
      <c r="CE31" s="97"/>
      <c r="CF31" s="97"/>
      <c r="CG31" s="97"/>
      <c r="CH31" s="97"/>
      <c r="CI31" s="97"/>
      <c r="CJ31" s="97"/>
      <c r="CK31" s="97"/>
      <c r="CL31" s="97"/>
      <c r="CM31" s="97"/>
      <c r="CN31" s="97"/>
      <c r="CO31" s="97"/>
      <c r="CP31" s="97"/>
      <c r="CQ31" s="97"/>
      <c r="CR31" s="97"/>
      <c r="CS31" s="97"/>
      <c r="CT31" s="97"/>
      <c r="CU31" s="97"/>
      <c r="CV31" s="97"/>
      <c r="CW31" s="97"/>
      <c r="CX31" s="97"/>
      <c r="CY31" s="97"/>
      <c r="CZ31" s="97"/>
      <c r="DA31" s="97"/>
      <c r="DB31" s="97"/>
      <c r="DC31" s="97"/>
      <c r="DD31" s="97"/>
      <c r="DE31" s="97"/>
      <c r="DF31" s="97"/>
      <c r="DG31" s="97"/>
      <c r="DH31" s="97"/>
      <c r="DI31" s="97"/>
      <c r="DJ31" s="97"/>
      <c r="DK31" s="97"/>
      <c r="DL31" s="97"/>
      <c r="DM31" s="97"/>
    </row>
    <row r="32" spans="1:117" ht="15.75" customHeight="1" thickBot="1" x14ac:dyDescent="0.25">
      <c r="A32" s="134" t="s">
        <v>16</v>
      </c>
      <c r="B32" s="272"/>
      <c r="C32" s="262">
        <f t="shared" ref="C32:M32" si="0">SUM(C6:C31)</f>
        <v>295</v>
      </c>
      <c r="D32" s="263">
        <f t="shared" si="0"/>
        <v>331</v>
      </c>
      <c r="E32" s="263">
        <f t="shared" si="0"/>
        <v>283</v>
      </c>
      <c r="F32" s="264">
        <f t="shared" si="0"/>
        <v>0</v>
      </c>
      <c r="G32" s="263">
        <f t="shared" si="0"/>
        <v>133</v>
      </c>
      <c r="H32" s="263">
        <f t="shared" si="0"/>
        <v>196</v>
      </c>
      <c r="I32" s="263">
        <f t="shared" si="0"/>
        <v>144</v>
      </c>
      <c r="J32" s="263">
        <f t="shared" si="0"/>
        <v>130</v>
      </c>
      <c r="K32" s="264">
        <f t="shared" si="0"/>
        <v>0</v>
      </c>
      <c r="L32" s="263">
        <f t="shared" si="0"/>
        <v>216</v>
      </c>
      <c r="M32" s="263">
        <f t="shared" si="0"/>
        <v>220</v>
      </c>
      <c r="N32" s="264"/>
      <c r="O32" s="263">
        <f t="shared" ref="O32:AI32" si="1">SUM(O6:O31)</f>
        <v>121</v>
      </c>
      <c r="P32" s="263">
        <f t="shared" si="1"/>
        <v>157</v>
      </c>
      <c r="Q32" s="264">
        <f t="shared" si="1"/>
        <v>0</v>
      </c>
      <c r="R32" s="263">
        <f t="shared" si="1"/>
        <v>2083</v>
      </c>
      <c r="S32" s="263">
        <f t="shared" si="1"/>
        <v>1710</v>
      </c>
      <c r="T32" s="263">
        <f t="shared" si="1"/>
        <v>1376</v>
      </c>
      <c r="U32" s="264">
        <f t="shared" si="1"/>
        <v>0</v>
      </c>
      <c r="V32" s="263">
        <f t="shared" si="1"/>
        <v>238</v>
      </c>
      <c r="W32" s="263">
        <f t="shared" si="1"/>
        <v>181</v>
      </c>
      <c r="X32" s="263">
        <f t="shared" si="1"/>
        <v>113</v>
      </c>
      <c r="Y32" s="264">
        <f t="shared" si="1"/>
        <v>0</v>
      </c>
      <c r="Z32" s="263">
        <f t="shared" si="1"/>
        <v>1952</v>
      </c>
      <c r="AA32" s="263">
        <f t="shared" si="1"/>
        <v>1506</v>
      </c>
      <c r="AB32" s="265">
        <f t="shared" si="1"/>
        <v>0</v>
      </c>
      <c r="AC32" s="263">
        <f t="shared" si="1"/>
        <v>2043</v>
      </c>
      <c r="AD32" s="264">
        <f t="shared" si="1"/>
        <v>0</v>
      </c>
      <c r="AE32" s="263">
        <f t="shared" si="1"/>
        <v>2607</v>
      </c>
      <c r="AF32" s="263">
        <f t="shared" si="1"/>
        <v>3955</v>
      </c>
      <c r="AG32" s="264">
        <f t="shared" si="1"/>
        <v>0</v>
      </c>
      <c r="AH32" s="263">
        <f t="shared" si="1"/>
        <v>2504</v>
      </c>
      <c r="AI32" s="263">
        <f t="shared" si="1"/>
        <v>3954</v>
      </c>
      <c r="AJ32" s="265"/>
      <c r="AK32" s="263">
        <f>SUM(AK6:AK31)</f>
        <v>3084</v>
      </c>
      <c r="AL32" s="263">
        <f>SUM(AL6:AL31)</f>
        <v>3404</v>
      </c>
      <c r="AM32" s="282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G32" s="132"/>
      <c r="BH32" s="132"/>
      <c r="BI32" s="132"/>
      <c r="BJ32" s="132"/>
      <c r="BK32" s="132"/>
      <c r="BL32" s="132"/>
      <c r="BM32" s="132"/>
      <c r="BN32" s="132"/>
      <c r="BO32" s="132"/>
      <c r="BP32" s="132"/>
      <c r="BQ32" s="132"/>
      <c r="BR32" s="132"/>
      <c r="BS32" s="132"/>
      <c r="BT32" s="132"/>
      <c r="BU32" s="132"/>
      <c r="BV32" s="132"/>
      <c r="BW32" s="132"/>
      <c r="BX32" s="132"/>
      <c r="BY32" s="132"/>
      <c r="BZ32" s="132"/>
      <c r="CA32" s="97"/>
      <c r="CB32" s="97"/>
      <c r="CC32" s="97"/>
      <c r="CD32" s="97"/>
      <c r="CE32" s="97"/>
      <c r="CF32" s="97"/>
      <c r="CG32" s="97"/>
      <c r="CH32" s="97"/>
      <c r="CI32" s="97"/>
      <c r="CJ32" s="97"/>
      <c r="CK32" s="97"/>
      <c r="CL32" s="97"/>
      <c r="CM32" s="97"/>
      <c r="CN32" s="97"/>
      <c r="CO32" s="97"/>
      <c r="CP32" s="97"/>
      <c r="CQ32" s="97"/>
      <c r="CR32" s="97"/>
      <c r="CS32" s="97"/>
      <c r="CT32" s="97"/>
      <c r="CU32" s="97"/>
      <c r="CV32" s="97"/>
      <c r="CW32" s="97"/>
      <c r="CX32" s="97"/>
      <c r="CY32" s="97"/>
      <c r="CZ32" s="97"/>
      <c r="DA32" s="97"/>
      <c r="DB32" s="97"/>
      <c r="DC32" s="97"/>
      <c r="DD32" s="97"/>
      <c r="DE32" s="97"/>
      <c r="DF32" s="97"/>
      <c r="DG32" s="97"/>
      <c r="DH32" s="97"/>
      <c r="DI32" s="97"/>
      <c r="DJ32" s="97"/>
      <c r="DK32" s="97"/>
      <c r="DL32" s="97"/>
      <c r="DM32" s="97"/>
    </row>
    <row r="33" spans="1:117" ht="14.25" customHeight="1" x14ac:dyDescent="0.2">
      <c r="A33" s="108"/>
      <c r="C33" s="255"/>
      <c r="D33" s="108"/>
      <c r="E33" s="108"/>
      <c r="F33" s="108"/>
      <c r="G33" s="108"/>
      <c r="H33" s="238"/>
      <c r="I33" s="108"/>
      <c r="J33" s="108"/>
      <c r="K33" s="108"/>
      <c r="L33" s="255"/>
      <c r="M33" s="255"/>
      <c r="N33" s="238"/>
      <c r="O33" s="108"/>
      <c r="P33" s="108"/>
      <c r="Q33" s="108"/>
      <c r="R33" s="108"/>
      <c r="S33" s="108"/>
      <c r="T33" s="108"/>
      <c r="U33" s="108"/>
      <c r="V33" s="108"/>
      <c r="W33" s="108"/>
      <c r="X33" s="108"/>
      <c r="Y33" s="108"/>
      <c r="Z33" s="238"/>
      <c r="AA33" s="108"/>
      <c r="AB33" s="108"/>
      <c r="AC33" s="108"/>
      <c r="AD33" s="108"/>
      <c r="AE33" s="108"/>
      <c r="AF33" s="108"/>
      <c r="AG33" s="108"/>
      <c r="AH33" s="108"/>
      <c r="AI33" s="108"/>
      <c r="AJ33" s="108"/>
      <c r="AK33" s="108"/>
      <c r="AL33" s="108"/>
      <c r="AM33" s="108"/>
      <c r="AN33" s="255"/>
      <c r="AO33" s="255"/>
      <c r="AP33" s="255"/>
      <c r="AQ33" s="255"/>
      <c r="AR33" s="255"/>
      <c r="AS33" s="255"/>
      <c r="BG33" s="132"/>
      <c r="BH33" s="132"/>
      <c r="BI33" s="132"/>
      <c r="BJ33" s="132"/>
      <c r="BK33" s="132"/>
      <c r="BL33" s="132"/>
      <c r="BM33" s="132"/>
      <c r="BN33" s="132"/>
      <c r="BO33" s="132"/>
      <c r="BP33" s="132"/>
      <c r="BQ33" s="132"/>
      <c r="BR33" s="132"/>
      <c r="BS33" s="132"/>
      <c r="BT33" s="132"/>
      <c r="BU33" s="132"/>
      <c r="BV33" s="132"/>
      <c r="BW33" s="132"/>
      <c r="BX33" s="132"/>
      <c r="BY33" s="132"/>
      <c r="BZ33" s="132"/>
      <c r="CA33" s="97"/>
      <c r="CB33" s="97"/>
      <c r="CC33" s="97"/>
      <c r="CD33" s="97"/>
      <c r="CE33" s="97"/>
      <c r="CF33" s="97"/>
      <c r="CG33" s="97"/>
      <c r="CH33" s="97"/>
      <c r="CI33" s="97"/>
      <c r="CJ33" s="97"/>
      <c r="CK33" s="97"/>
      <c r="CL33" s="97"/>
      <c r="CM33" s="97"/>
      <c r="CN33" s="97"/>
      <c r="CO33" s="97"/>
      <c r="CP33" s="97"/>
      <c r="CQ33" s="97"/>
      <c r="CR33" s="97"/>
      <c r="CS33" s="97"/>
      <c r="CT33" s="97"/>
      <c r="CU33" s="97"/>
      <c r="CV33" s="97"/>
      <c r="CW33" s="97"/>
      <c r="CX33" s="97"/>
      <c r="CY33" s="97"/>
      <c r="CZ33" s="97"/>
      <c r="DA33" s="97"/>
      <c r="DB33" s="97"/>
      <c r="DC33" s="97"/>
      <c r="DD33" s="97"/>
      <c r="DE33" s="97"/>
      <c r="DF33" s="97"/>
      <c r="DG33" s="97"/>
      <c r="DH33" s="97"/>
      <c r="DI33" s="97"/>
      <c r="DJ33" s="97"/>
      <c r="DK33" s="97"/>
      <c r="DL33" s="97"/>
      <c r="DM33" s="97"/>
    </row>
    <row r="34" spans="1:117" ht="14.25" customHeight="1" x14ac:dyDescent="0.2">
      <c r="A34" s="108"/>
      <c r="B34" s="255"/>
      <c r="C34" s="255"/>
      <c r="D34" s="108"/>
      <c r="E34" s="108"/>
      <c r="F34" s="108"/>
      <c r="G34" s="108"/>
      <c r="H34" s="238"/>
      <c r="I34" s="108"/>
      <c r="J34" s="108"/>
      <c r="K34" s="108"/>
      <c r="L34" s="255"/>
      <c r="M34" s="255"/>
      <c r="N34" s="238"/>
      <c r="O34" s="108"/>
      <c r="P34" s="108"/>
      <c r="Q34" s="108"/>
      <c r="R34" s="108"/>
      <c r="S34" s="108"/>
      <c r="T34" s="108"/>
      <c r="U34" s="108"/>
      <c r="V34" s="108"/>
      <c r="W34" s="108"/>
      <c r="X34" s="108"/>
      <c r="Y34" s="108"/>
      <c r="Z34" s="238"/>
      <c r="AA34" s="108"/>
      <c r="AB34" s="108"/>
      <c r="AC34" s="108"/>
      <c r="AD34" s="108"/>
      <c r="AE34" s="108"/>
      <c r="AF34" s="108"/>
      <c r="AG34" s="108"/>
      <c r="AH34" s="108"/>
      <c r="AI34" s="108"/>
      <c r="AJ34" s="108"/>
      <c r="AK34" s="108"/>
      <c r="AL34" s="108"/>
      <c r="AM34" s="108"/>
      <c r="AN34" s="255"/>
      <c r="AO34" s="255"/>
      <c r="AP34" s="255"/>
      <c r="AQ34" s="255"/>
      <c r="AR34" s="255"/>
      <c r="AS34" s="255"/>
      <c r="BG34" s="132"/>
      <c r="BH34" s="132"/>
      <c r="BI34" s="132"/>
      <c r="BJ34" s="132"/>
      <c r="BK34" s="132"/>
      <c r="BL34" s="132"/>
      <c r="BM34" s="132"/>
      <c r="BN34" s="132"/>
      <c r="BO34" s="132"/>
      <c r="BP34" s="132"/>
      <c r="BQ34" s="132"/>
      <c r="BR34" s="132"/>
      <c r="BS34" s="132"/>
      <c r="BT34" s="132"/>
      <c r="BU34" s="132"/>
      <c r="BV34" s="132"/>
      <c r="BW34" s="132"/>
      <c r="BX34" s="132"/>
      <c r="BY34" s="132"/>
      <c r="BZ34" s="132"/>
      <c r="CA34" s="97"/>
      <c r="CB34" s="97"/>
      <c r="CC34" s="97"/>
      <c r="CD34" s="97"/>
      <c r="CE34" s="97"/>
      <c r="CF34" s="97"/>
      <c r="CG34" s="97"/>
      <c r="CH34" s="97"/>
      <c r="CI34" s="97"/>
      <c r="CJ34" s="97"/>
      <c r="CK34" s="97"/>
      <c r="CL34" s="97"/>
      <c r="CM34" s="97"/>
      <c r="CN34" s="97"/>
      <c r="CO34" s="97"/>
      <c r="CP34" s="97"/>
      <c r="CQ34" s="97"/>
      <c r="CR34" s="97"/>
      <c r="CS34" s="97"/>
      <c r="CT34" s="97"/>
      <c r="CU34" s="97"/>
      <c r="CV34" s="97"/>
      <c r="CW34" s="97"/>
      <c r="CX34" s="97"/>
      <c r="CY34" s="97"/>
      <c r="CZ34" s="97"/>
      <c r="DA34" s="97"/>
      <c r="DB34" s="97"/>
      <c r="DC34" s="97"/>
      <c r="DD34" s="97"/>
      <c r="DE34" s="97"/>
      <c r="DF34" s="97"/>
      <c r="DG34" s="97"/>
      <c r="DH34" s="97"/>
      <c r="DI34" s="97"/>
      <c r="DJ34" s="97"/>
      <c r="DK34" s="97"/>
      <c r="DL34" s="97"/>
      <c r="DM34" s="97"/>
    </row>
    <row r="35" spans="1:117" ht="14.25" customHeight="1" x14ac:dyDescent="0.2">
      <c r="A35" s="108"/>
      <c r="B35" s="255"/>
      <c r="C35" s="255"/>
      <c r="D35" s="108"/>
      <c r="E35" s="108"/>
      <c r="F35" s="108"/>
      <c r="G35" s="108"/>
      <c r="H35" s="238"/>
      <c r="I35" s="108"/>
      <c r="J35" s="108"/>
      <c r="K35" s="108"/>
      <c r="L35" s="255"/>
      <c r="M35" s="255"/>
      <c r="N35" s="238"/>
      <c r="O35" s="108"/>
      <c r="P35" s="108"/>
      <c r="Q35" s="108"/>
      <c r="R35" s="108"/>
      <c r="S35" s="108"/>
      <c r="T35" s="108"/>
      <c r="U35" s="108"/>
      <c r="V35" s="108"/>
      <c r="W35" s="108"/>
      <c r="X35" s="108"/>
      <c r="Y35" s="108"/>
      <c r="Z35" s="238"/>
      <c r="AA35" s="108"/>
      <c r="AB35" s="108"/>
      <c r="AC35" s="108"/>
      <c r="AD35" s="108"/>
      <c r="AE35" s="108"/>
      <c r="AF35" s="108"/>
      <c r="AG35" s="108"/>
      <c r="AH35" s="108"/>
      <c r="AI35" s="108"/>
      <c r="AJ35" s="108"/>
      <c r="AK35" s="108"/>
      <c r="AL35" s="108"/>
      <c r="AM35" s="108"/>
      <c r="AN35" s="255"/>
      <c r="AO35" s="255"/>
      <c r="AP35" s="255"/>
      <c r="AQ35" s="255"/>
      <c r="AR35" s="255"/>
      <c r="AS35" s="255"/>
      <c r="AT35" s="239"/>
      <c r="AU35" s="239"/>
      <c r="AV35" s="239"/>
      <c r="AW35" s="239"/>
      <c r="AX35" s="239"/>
      <c r="AY35" s="239"/>
      <c r="AZ35" s="239"/>
      <c r="BA35" s="239"/>
      <c r="BB35" s="239"/>
      <c r="BC35" s="239"/>
      <c r="BD35" s="239"/>
      <c r="BE35" s="239"/>
      <c r="BF35" s="239"/>
      <c r="BG35" s="95"/>
      <c r="BH35" s="95"/>
      <c r="BI35" s="95"/>
      <c r="BJ35" s="95"/>
      <c r="BK35" s="95"/>
      <c r="BL35" s="95"/>
      <c r="BM35" s="95"/>
      <c r="BN35" s="95"/>
      <c r="BO35" s="95"/>
      <c r="BP35" s="95"/>
      <c r="BQ35" s="95"/>
      <c r="BR35" s="95"/>
      <c r="BS35" s="95"/>
      <c r="BT35" s="95"/>
      <c r="BU35" s="95"/>
      <c r="BV35" s="95"/>
      <c r="BW35" s="97"/>
      <c r="BX35" s="97"/>
      <c r="BY35" s="97"/>
      <c r="BZ35" s="97"/>
      <c r="CA35" s="97"/>
      <c r="CB35" s="97"/>
      <c r="CC35" s="97"/>
      <c r="CD35" s="97"/>
      <c r="CE35" s="97"/>
      <c r="CF35" s="97"/>
      <c r="CG35" s="97"/>
      <c r="CH35" s="97"/>
      <c r="CI35" s="97"/>
      <c r="CJ35" s="97"/>
      <c r="CK35" s="97"/>
      <c r="CL35" s="97"/>
      <c r="CM35" s="97"/>
      <c r="CN35" s="97"/>
      <c r="CO35" s="97"/>
      <c r="CP35" s="97"/>
      <c r="CQ35" s="97"/>
      <c r="CR35" s="97"/>
      <c r="CS35" s="97"/>
      <c r="CT35" s="97"/>
      <c r="CU35" s="97"/>
      <c r="CV35" s="97"/>
      <c r="CW35" s="97"/>
      <c r="CX35" s="97"/>
      <c r="CY35" s="97"/>
      <c r="CZ35" s="97"/>
      <c r="DA35" s="97"/>
      <c r="DB35" s="97"/>
      <c r="DC35" s="97"/>
      <c r="DD35" s="97"/>
      <c r="DE35" s="97"/>
      <c r="DF35" s="97"/>
      <c r="DG35" s="97"/>
      <c r="DH35" s="97"/>
      <c r="DI35" s="97"/>
      <c r="DJ35" s="97"/>
      <c r="DK35" s="97"/>
      <c r="DL35" s="97"/>
      <c r="DM35" s="97"/>
    </row>
    <row r="36" spans="1:117" ht="29.25" customHeight="1" x14ac:dyDescent="0.2">
      <c r="A36" s="136"/>
      <c r="B36" s="256"/>
      <c r="C36" s="256"/>
      <c r="D36" s="136"/>
      <c r="E36" s="136"/>
      <c r="F36" s="136"/>
      <c r="G36" s="136"/>
      <c r="H36" s="136"/>
      <c r="I36" s="136"/>
      <c r="J36" s="136"/>
      <c r="K36" s="136"/>
      <c r="L36" s="256"/>
      <c r="M36" s="25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256"/>
      <c r="AO36" s="256"/>
      <c r="AP36" s="256"/>
      <c r="AQ36" s="256"/>
      <c r="AR36" s="256"/>
      <c r="AS36" s="256"/>
      <c r="AT36" s="260"/>
      <c r="AU36" s="260"/>
      <c r="AV36" s="260"/>
      <c r="AW36" s="260"/>
      <c r="AX36" s="260"/>
      <c r="AY36" s="260"/>
      <c r="AZ36" s="260"/>
      <c r="BA36" s="260"/>
      <c r="BB36" s="260"/>
      <c r="BC36" s="260"/>
      <c r="BD36" s="260"/>
      <c r="BE36" s="260"/>
      <c r="BF36" s="260"/>
      <c r="BG36" s="137"/>
      <c r="BH36" s="137"/>
      <c r="BI36" s="137"/>
      <c r="BJ36" s="137"/>
      <c r="BK36" s="137"/>
      <c r="BL36" s="137"/>
      <c r="BM36" s="137"/>
      <c r="BN36" s="137"/>
      <c r="BO36" s="137"/>
      <c r="BP36" s="137"/>
      <c r="BQ36" s="137"/>
      <c r="BR36" s="137"/>
      <c r="BS36" s="137"/>
      <c r="BT36" s="137"/>
      <c r="BU36" s="137"/>
      <c r="BV36" s="137"/>
      <c r="BW36" s="97"/>
      <c r="BX36" s="97"/>
      <c r="BY36" s="97"/>
      <c r="BZ36" s="97"/>
      <c r="CA36" s="97"/>
      <c r="CB36" s="97"/>
      <c r="CC36" s="97"/>
      <c r="CD36" s="97"/>
      <c r="CE36" s="97"/>
      <c r="CF36" s="97"/>
      <c r="CG36" s="97"/>
      <c r="CH36" s="97"/>
      <c r="CI36" s="97"/>
      <c r="CJ36" s="97"/>
      <c r="CK36" s="97"/>
      <c r="CL36" s="97"/>
      <c r="CM36" s="97"/>
      <c r="CN36" s="97"/>
      <c r="CO36" s="97"/>
      <c r="CP36" s="97"/>
      <c r="CQ36" s="97"/>
      <c r="CR36" s="97"/>
      <c r="CS36" s="97"/>
      <c r="CT36" s="97"/>
      <c r="CU36" s="97"/>
      <c r="CV36" s="97"/>
      <c r="CW36" s="97"/>
      <c r="CX36" s="97"/>
      <c r="CY36" s="97"/>
      <c r="CZ36" s="97"/>
      <c r="DA36" s="97"/>
      <c r="DB36" s="97"/>
      <c r="DC36" s="97"/>
      <c r="DD36" s="97"/>
      <c r="DE36" s="97"/>
      <c r="DF36" s="97"/>
      <c r="DG36" s="97"/>
      <c r="DH36" s="97"/>
      <c r="DI36" s="97"/>
      <c r="DJ36" s="97"/>
      <c r="DK36" s="97"/>
      <c r="DL36" s="97"/>
      <c r="DM36" s="97"/>
    </row>
    <row r="37" spans="1:117" x14ac:dyDescent="0.2">
      <c r="A37" s="97"/>
      <c r="B37" s="132"/>
      <c r="C37" s="132"/>
      <c r="D37" s="97"/>
      <c r="E37" s="97"/>
      <c r="F37" s="97"/>
      <c r="G37" s="97"/>
      <c r="H37" s="97"/>
      <c r="I37" s="97"/>
      <c r="J37" s="97"/>
      <c r="K37" s="97"/>
      <c r="L37" s="132"/>
      <c r="M37" s="132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7"/>
      <c r="AG37" s="97"/>
      <c r="AH37" s="97"/>
      <c r="AI37" s="97"/>
      <c r="AJ37" s="97"/>
      <c r="AK37" s="97"/>
      <c r="AL37" s="97"/>
      <c r="AM37" s="97"/>
      <c r="BG37" s="97"/>
      <c r="BH37" s="97"/>
      <c r="BI37" s="97"/>
      <c r="BJ37" s="97"/>
      <c r="BK37" s="97"/>
      <c r="BL37" s="97"/>
      <c r="BM37" s="97"/>
      <c r="BN37" s="97"/>
      <c r="BO37" s="97"/>
      <c r="BP37" s="97"/>
      <c r="BQ37" s="97"/>
      <c r="BR37" s="97"/>
      <c r="BS37" s="97"/>
      <c r="BT37" s="97"/>
      <c r="BU37" s="97"/>
      <c r="BV37" s="97"/>
      <c r="BW37" s="97"/>
      <c r="BX37" s="97"/>
      <c r="BY37" s="97"/>
      <c r="BZ37" s="97"/>
      <c r="CA37" s="97"/>
      <c r="CB37" s="97"/>
      <c r="CC37" s="97"/>
      <c r="CD37" s="97"/>
      <c r="CE37" s="97"/>
      <c r="CF37" s="97"/>
      <c r="CG37" s="97"/>
      <c r="CH37" s="97"/>
      <c r="CI37" s="97"/>
      <c r="CJ37" s="97"/>
      <c r="CK37" s="97"/>
      <c r="CL37" s="97"/>
      <c r="CM37" s="97"/>
      <c r="CN37" s="97"/>
      <c r="CO37" s="97"/>
      <c r="CP37" s="97"/>
      <c r="CQ37" s="97"/>
      <c r="CR37" s="97"/>
      <c r="CS37" s="97"/>
      <c r="CT37" s="97"/>
      <c r="CU37" s="97"/>
      <c r="CV37" s="97"/>
      <c r="CW37" s="97"/>
      <c r="CX37" s="97"/>
      <c r="CY37" s="97"/>
      <c r="CZ37" s="97"/>
      <c r="DA37" s="97"/>
      <c r="DB37" s="97"/>
      <c r="DC37" s="97"/>
      <c r="DD37" s="97"/>
      <c r="DE37" s="97"/>
      <c r="DF37" s="97"/>
      <c r="DG37" s="97"/>
      <c r="DH37" s="97"/>
      <c r="DI37" s="97"/>
      <c r="DJ37" s="97"/>
      <c r="DK37" s="97"/>
      <c r="DL37" s="97"/>
      <c r="DM37" s="97"/>
    </row>
    <row r="38" spans="1:117" x14ac:dyDescent="0.2">
      <c r="C38" s="257"/>
      <c r="CI38" s="97"/>
      <c r="CJ38" s="97"/>
      <c r="CK38" s="97"/>
      <c r="CL38" s="97"/>
      <c r="CM38" s="97"/>
      <c r="CN38" s="97"/>
      <c r="CO38" s="97"/>
      <c r="CP38" s="97"/>
      <c r="CQ38" s="97"/>
      <c r="CR38" s="97"/>
      <c r="CS38" s="97"/>
      <c r="CT38" s="97"/>
      <c r="CU38" s="97"/>
      <c r="CV38" s="97"/>
      <c r="CW38" s="97"/>
      <c r="CX38" s="97"/>
      <c r="CY38" s="97"/>
      <c r="CZ38" s="97"/>
      <c r="DA38" s="97"/>
      <c r="DB38" s="97"/>
      <c r="DC38" s="97"/>
      <c r="DD38" s="97"/>
      <c r="DE38" s="97"/>
      <c r="DF38" s="97"/>
      <c r="DG38" s="97"/>
      <c r="DH38" s="97"/>
      <c r="DI38" s="97"/>
      <c r="DJ38" s="97"/>
      <c r="DK38" s="97"/>
      <c r="DL38" s="97"/>
      <c r="DM38" s="97"/>
    </row>
    <row r="39" spans="1:117" x14ac:dyDescent="0.2">
      <c r="C39" s="257"/>
      <c r="CI39" s="97"/>
      <c r="CJ39" s="97"/>
      <c r="CK39" s="97"/>
      <c r="CL39" s="97"/>
      <c r="CM39" s="97"/>
      <c r="CN39" s="97"/>
      <c r="CO39" s="97"/>
      <c r="CP39" s="97"/>
      <c r="CQ39" s="97"/>
      <c r="CR39" s="97"/>
      <c r="CS39" s="97"/>
      <c r="CT39" s="97"/>
      <c r="CU39" s="97"/>
      <c r="CV39" s="97"/>
      <c r="CW39" s="97"/>
      <c r="CX39" s="97"/>
      <c r="CY39" s="97"/>
      <c r="CZ39" s="97"/>
      <c r="DA39" s="97"/>
      <c r="DB39" s="97"/>
      <c r="DC39" s="97"/>
      <c r="DD39" s="97"/>
      <c r="DE39" s="97"/>
      <c r="DF39" s="97"/>
      <c r="DG39" s="97"/>
      <c r="DH39" s="97"/>
      <c r="DI39" s="97"/>
      <c r="DJ39" s="97"/>
      <c r="DK39" s="97"/>
      <c r="DL39" s="97"/>
      <c r="DM39" s="97"/>
    </row>
    <row r="40" spans="1:117" x14ac:dyDescent="0.2">
      <c r="C40" s="25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  <c r="DG40" s="97"/>
      <c r="DH40" s="97"/>
      <c r="DI40" s="97"/>
      <c r="DJ40" s="97"/>
      <c r="DK40" s="97"/>
      <c r="DL40" s="97"/>
      <c r="DM40" s="97"/>
    </row>
    <row r="41" spans="1:117" x14ac:dyDescent="0.2">
      <c r="C41" s="25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  <c r="DG41" s="97"/>
      <c r="DH41" s="97"/>
      <c r="DI41" s="97"/>
      <c r="DJ41" s="97"/>
      <c r="DK41" s="97"/>
      <c r="DL41" s="97"/>
      <c r="DM41" s="97"/>
    </row>
    <row r="42" spans="1:117" x14ac:dyDescent="0.2">
      <c r="C42" s="25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  <c r="DG42" s="97"/>
      <c r="DH42" s="97"/>
      <c r="DI42" s="97"/>
      <c r="DJ42" s="97"/>
      <c r="DK42" s="97"/>
      <c r="DL42" s="97"/>
      <c r="DM42" s="97"/>
    </row>
    <row r="43" spans="1:117" x14ac:dyDescent="0.2">
      <c r="C43" s="25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  <c r="DG43" s="97"/>
      <c r="DH43" s="97"/>
      <c r="DI43" s="97"/>
      <c r="DJ43" s="97"/>
      <c r="DK43" s="97"/>
      <c r="DL43" s="97"/>
      <c r="DM43" s="97"/>
    </row>
    <row r="44" spans="1:117" x14ac:dyDescent="0.2">
      <c r="C44" s="25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  <c r="DG44" s="97"/>
      <c r="DH44" s="97"/>
      <c r="DI44" s="97"/>
      <c r="DJ44" s="97"/>
      <c r="DK44" s="97"/>
      <c r="DL44" s="97"/>
      <c r="DM44" s="97"/>
    </row>
    <row r="45" spans="1:117" x14ac:dyDescent="0.2">
      <c r="C45" s="257"/>
      <c r="CI45" s="97"/>
      <c r="CJ45" s="97"/>
      <c r="CK45" s="97"/>
      <c r="CL45" s="97"/>
      <c r="CM45" s="97"/>
      <c r="CN45" s="97"/>
      <c r="CO45" s="97"/>
      <c r="CP45" s="97"/>
      <c r="CQ45" s="97"/>
      <c r="CR45" s="97"/>
      <c r="CS45" s="97"/>
      <c r="CT45" s="97"/>
      <c r="CU45" s="97"/>
      <c r="CV45" s="97"/>
      <c r="CW45" s="97"/>
      <c r="CX45" s="97"/>
      <c r="CY45" s="97"/>
      <c r="CZ45" s="97"/>
      <c r="DA45" s="97"/>
      <c r="DB45" s="97"/>
      <c r="DC45" s="97"/>
      <c r="DD45" s="97"/>
      <c r="DE45" s="97"/>
      <c r="DF45" s="97"/>
      <c r="DG45" s="97"/>
      <c r="DH45" s="97"/>
      <c r="DI45" s="97"/>
      <c r="DJ45" s="97"/>
      <c r="DK45" s="97"/>
      <c r="DL45" s="97"/>
      <c r="DM45" s="97"/>
    </row>
    <row r="46" spans="1:117" x14ac:dyDescent="0.2">
      <c r="C46" s="257"/>
      <c r="CI46" s="97"/>
      <c r="CJ46" s="97"/>
      <c r="CK46" s="97"/>
      <c r="CL46" s="97"/>
      <c r="CM46" s="97"/>
      <c r="CN46" s="97"/>
      <c r="CO46" s="97"/>
      <c r="CP46" s="97"/>
      <c r="CQ46" s="97"/>
      <c r="CR46" s="97"/>
      <c r="CS46" s="97"/>
      <c r="CT46" s="97"/>
      <c r="CU46" s="97"/>
      <c r="CV46" s="97"/>
      <c r="CW46" s="97"/>
      <c r="CX46" s="97"/>
      <c r="CY46" s="97"/>
      <c r="CZ46" s="97"/>
      <c r="DA46" s="97"/>
      <c r="DB46" s="97"/>
      <c r="DC46" s="97"/>
      <c r="DD46" s="97"/>
      <c r="DE46" s="97"/>
      <c r="DF46" s="97"/>
      <c r="DG46" s="97"/>
      <c r="DH46" s="97"/>
      <c r="DI46" s="97"/>
      <c r="DJ46" s="97"/>
      <c r="DK46" s="97"/>
      <c r="DL46" s="97"/>
      <c r="DM46" s="97"/>
    </row>
    <row r="47" spans="1:117" x14ac:dyDescent="0.2">
      <c r="C47" s="257"/>
      <c r="CI47" s="97"/>
      <c r="CJ47" s="97"/>
      <c r="CK47" s="97"/>
      <c r="CL47" s="97"/>
      <c r="CM47" s="97"/>
      <c r="CN47" s="97"/>
      <c r="CO47" s="97"/>
      <c r="CP47" s="97"/>
      <c r="CQ47" s="97"/>
      <c r="CR47" s="97"/>
      <c r="CS47" s="97"/>
      <c r="CT47" s="97"/>
      <c r="CU47" s="97"/>
      <c r="CV47" s="97"/>
      <c r="CW47" s="97"/>
      <c r="CX47" s="97"/>
      <c r="CY47" s="97"/>
      <c r="CZ47" s="97"/>
      <c r="DA47" s="97"/>
      <c r="DB47" s="97"/>
      <c r="DC47" s="97"/>
      <c r="DD47" s="97"/>
      <c r="DE47" s="97"/>
      <c r="DF47" s="97"/>
      <c r="DG47" s="97"/>
      <c r="DH47" s="97"/>
      <c r="DI47" s="97"/>
      <c r="DJ47" s="97"/>
      <c r="DK47" s="97"/>
      <c r="DL47" s="97"/>
      <c r="DM47" s="97"/>
    </row>
    <row r="48" spans="1:117" x14ac:dyDescent="0.2">
      <c r="C48" s="257"/>
      <c r="CI48" s="97"/>
      <c r="CJ48" s="97"/>
      <c r="CK48" s="97"/>
      <c r="CL48" s="97"/>
      <c r="CM48" s="97"/>
      <c r="CN48" s="97"/>
      <c r="CO48" s="97"/>
      <c r="CP48" s="97"/>
      <c r="CQ48" s="97"/>
      <c r="CR48" s="97"/>
      <c r="CS48" s="97"/>
      <c r="CT48" s="97"/>
      <c r="CU48" s="97"/>
      <c r="CV48" s="97"/>
      <c r="CW48" s="97"/>
      <c r="CX48" s="97"/>
      <c r="CY48" s="97"/>
      <c r="CZ48" s="97"/>
      <c r="DA48" s="97"/>
      <c r="DB48" s="97"/>
      <c r="DC48" s="97"/>
      <c r="DD48" s="97"/>
      <c r="DE48" s="97"/>
      <c r="DF48" s="97"/>
      <c r="DG48" s="97"/>
      <c r="DH48" s="97"/>
      <c r="DI48" s="97"/>
      <c r="DJ48" s="97"/>
      <c r="DK48" s="97"/>
      <c r="DL48" s="97"/>
      <c r="DM48" s="97"/>
    </row>
    <row r="49" spans="3:117" x14ac:dyDescent="0.2">
      <c r="C49" s="257"/>
      <c r="CI49" s="97"/>
      <c r="CJ49" s="97"/>
      <c r="CK49" s="97"/>
      <c r="CL49" s="97"/>
      <c r="CM49" s="97"/>
      <c r="CN49" s="97"/>
      <c r="CO49" s="97"/>
      <c r="CP49" s="97"/>
      <c r="CQ49" s="97"/>
      <c r="CR49" s="97"/>
      <c r="CS49" s="97"/>
      <c r="CT49" s="97"/>
      <c r="CU49" s="97"/>
      <c r="CV49" s="97"/>
      <c r="CW49" s="97"/>
      <c r="CX49" s="97"/>
      <c r="CY49" s="97"/>
      <c r="CZ49" s="97"/>
      <c r="DA49" s="97"/>
      <c r="DB49" s="97"/>
      <c r="DC49" s="97"/>
      <c r="DD49" s="97"/>
      <c r="DE49" s="97"/>
      <c r="DF49" s="97"/>
      <c r="DG49" s="97"/>
      <c r="DH49" s="97"/>
      <c r="DI49" s="97"/>
      <c r="DJ49" s="97"/>
      <c r="DK49" s="97"/>
      <c r="DL49" s="97"/>
      <c r="DM49" s="97"/>
    </row>
    <row r="50" spans="3:117" x14ac:dyDescent="0.2">
      <c r="C50" s="257"/>
    </row>
    <row r="51" spans="3:117" x14ac:dyDescent="0.2">
      <c r="C51" s="255"/>
    </row>
    <row r="52" spans="3:117" x14ac:dyDescent="0.2">
      <c r="C52" s="257"/>
    </row>
    <row r="53" spans="3:117" x14ac:dyDescent="0.2">
      <c r="C53" s="257"/>
    </row>
    <row r="54" spans="3:117" x14ac:dyDescent="0.2">
      <c r="C54" s="257"/>
    </row>
    <row r="55" spans="3:117" x14ac:dyDescent="0.2">
      <c r="C55" s="257"/>
    </row>
    <row r="56" spans="3:117" x14ac:dyDescent="0.2">
      <c r="C56" s="257"/>
    </row>
    <row r="57" spans="3:117" x14ac:dyDescent="0.2">
      <c r="C57" s="257"/>
    </row>
    <row r="58" spans="3:117" x14ac:dyDescent="0.2">
      <c r="C58" s="257"/>
    </row>
    <row r="59" spans="3:117" x14ac:dyDescent="0.2">
      <c r="C59" s="257"/>
    </row>
    <row r="60" spans="3:117" x14ac:dyDescent="0.2">
      <c r="C60" s="257"/>
    </row>
    <row r="61" spans="3:117" x14ac:dyDescent="0.2">
      <c r="C61" s="257"/>
    </row>
    <row r="62" spans="3:117" x14ac:dyDescent="0.2">
      <c r="C62" s="257"/>
    </row>
    <row r="63" spans="3:117" x14ac:dyDescent="0.2">
      <c r="C63" s="257"/>
    </row>
    <row r="64" spans="3:117" x14ac:dyDescent="0.2">
      <c r="C64" s="257"/>
    </row>
    <row r="65" spans="3:3" x14ac:dyDescent="0.2">
      <c r="C65" s="257"/>
    </row>
    <row r="66" spans="3:3" x14ac:dyDescent="0.2">
      <c r="C66" s="257"/>
    </row>
    <row r="67" spans="3:3" x14ac:dyDescent="0.2">
      <c r="C67" s="257"/>
    </row>
    <row r="68" spans="3:3" x14ac:dyDescent="0.2">
      <c r="C68" s="257"/>
    </row>
    <row r="69" spans="3:3" x14ac:dyDescent="0.2">
      <c r="C69" s="257"/>
    </row>
    <row r="70" spans="3:3" x14ac:dyDescent="0.2">
      <c r="C70" s="257"/>
    </row>
    <row r="71" spans="3:3" x14ac:dyDescent="0.2">
      <c r="C71" s="257"/>
    </row>
    <row r="72" spans="3:3" x14ac:dyDescent="0.2">
      <c r="C72" s="257"/>
    </row>
    <row r="73" spans="3:3" x14ac:dyDescent="0.2">
      <c r="C73" s="257"/>
    </row>
    <row r="74" spans="3:3" x14ac:dyDescent="0.2">
      <c r="C74" s="257"/>
    </row>
    <row r="75" spans="3:3" x14ac:dyDescent="0.2">
      <c r="C75" s="257"/>
    </row>
    <row r="76" spans="3:3" x14ac:dyDescent="0.2">
      <c r="C76" s="257"/>
    </row>
    <row r="77" spans="3:3" x14ac:dyDescent="0.2">
      <c r="C77" s="257"/>
    </row>
    <row r="78" spans="3:3" x14ac:dyDescent="0.2">
      <c r="C78" s="257"/>
    </row>
    <row r="79" spans="3:3" x14ac:dyDescent="0.2">
      <c r="C79" s="257"/>
    </row>
    <row r="80" spans="3:3" x14ac:dyDescent="0.2">
      <c r="C80" s="257"/>
    </row>
    <row r="81" spans="3:3" x14ac:dyDescent="0.2">
      <c r="C81" s="257"/>
    </row>
    <row r="82" spans="3:3" x14ac:dyDescent="0.2">
      <c r="C82" s="257"/>
    </row>
    <row r="83" spans="3:3" x14ac:dyDescent="0.2">
      <c r="C83" s="257"/>
    </row>
    <row r="84" spans="3:3" x14ac:dyDescent="0.2">
      <c r="C84" s="257"/>
    </row>
    <row r="85" spans="3:3" x14ac:dyDescent="0.2">
      <c r="C85" s="257"/>
    </row>
    <row r="86" spans="3:3" x14ac:dyDescent="0.2">
      <c r="C86" s="257"/>
    </row>
    <row r="87" spans="3:3" x14ac:dyDescent="0.2">
      <c r="C87" s="257"/>
    </row>
    <row r="88" spans="3:3" x14ac:dyDescent="0.2">
      <c r="C88" s="257"/>
    </row>
    <row r="89" spans="3:3" x14ac:dyDescent="0.2">
      <c r="C89" s="257"/>
    </row>
    <row r="90" spans="3:3" x14ac:dyDescent="0.2">
      <c r="C90" s="257"/>
    </row>
    <row r="91" spans="3:3" x14ac:dyDescent="0.2">
      <c r="C91" s="257"/>
    </row>
    <row r="92" spans="3:3" x14ac:dyDescent="0.2">
      <c r="C92" s="257"/>
    </row>
    <row r="93" spans="3:3" x14ac:dyDescent="0.2">
      <c r="C93" s="257"/>
    </row>
    <row r="94" spans="3:3" x14ac:dyDescent="0.2">
      <c r="C94" s="257"/>
    </row>
    <row r="95" spans="3:3" x14ac:dyDescent="0.2">
      <c r="C95" s="257"/>
    </row>
    <row r="96" spans="3:3" x14ac:dyDescent="0.2">
      <c r="C96" s="257"/>
    </row>
    <row r="97" spans="3:3" x14ac:dyDescent="0.2">
      <c r="C97" s="257"/>
    </row>
    <row r="98" spans="3:3" x14ac:dyDescent="0.2">
      <c r="C98" s="257"/>
    </row>
    <row r="99" spans="3:3" x14ac:dyDescent="0.2">
      <c r="C99" s="257"/>
    </row>
    <row r="100" spans="3:3" x14ac:dyDescent="0.2">
      <c r="C100" s="257"/>
    </row>
    <row r="101" spans="3:3" x14ac:dyDescent="0.2">
      <c r="C101" s="257"/>
    </row>
    <row r="102" spans="3:3" x14ac:dyDescent="0.2">
      <c r="C102" s="257"/>
    </row>
    <row r="103" spans="3:3" x14ac:dyDescent="0.2">
      <c r="C103" s="257"/>
    </row>
    <row r="104" spans="3:3" x14ac:dyDescent="0.2">
      <c r="C104" s="257"/>
    </row>
    <row r="105" spans="3:3" x14ac:dyDescent="0.2">
      <c r="C105" s="257"/>
    </row>
    <row r="106" spans="3:3" x14ac:dyDescent="0.2">
      <c r="C106" s="257"/>
    </row>
    <row r="107" spans="3:3" x14ac:dyDescent="0.2">
      <c r="C107" s="257"/>
    </row>
    <row r="108" spans="3:3" x14ac:dyDescent="0.2">
      <c r="C108" s="257"/>
    </row>
    <row r="109" spans="3:3" x14ac:dyDescent="0.2">
      <c r="C109" s="257"/>
    </row>
    <row r="110" spans="3:3" x14ac:dyDescent="0.2">
      <c r="C110" s="257"/>
    </row>
    <row r="111" spans="3:3" x14ac:dyDescent="0.2">
      <c r="C111" s="257"/>
    </row>
    <row r="112" spans="3:3" x14ac:dyDescent="0.2">
      <c r="C112" s="257"/>
    </row>
    <row r="113" spans="3:3" x14ac:dyDescent="0.2">
      <c r="C113" s="257"/>
    </row>
    <row r="114" spans="3:3" x14ac:dyDescent="0.2">
      <c r="C114" s="257"/>
    </row>
    <row r="115" spans="3:3" x14ac:dyDescent="0.2">
      <c r="C115" s="257"/>
    </row>
    <row r="116" spans="3:3" x14ac:dyDescent="0.2">
      <c r="C116" s="257"/>
    </row>
    <row r="117" spans="3:3" x14ac:dyDescent="0.2">
      <c r="C117" s="257"/>
    </row>
    <row r="118" spans="3:3" x14ac:dyDescent="0.2">
      <c r="C118" s="257"/>
    </row>
    <row r="119" spans="3:3" x14ac:dyDescent="0.2">
      <c r="C119" s="257"/>
    </row>
    <row r="120" spans="3:3" x14ac:dyDescent="0.2">
      <c r="C120" s="257"/>
    </row>
    <row r="121" spans="3:3" x14ac:dyDescent="0.2">
      <c r="C121" s="257"/>
    </row>
    <row r="122" spans="3:3" x14ac:dyDescent="0.2">
      <c r="C122" s="257"/>
    </row>
    <row r="123" spans="3:3" x14ac:dyDescent="0.2">
      <c r="C123" s="257"/>
    </row>
    <row r="124" spans="3:3" x14ac:dyDescent="0.2">
      <c r="C124" s="257"/>
    </row>
    <row r="125" spans="3:3" x14ac:dyDescent="0.2">
      <c r="C125" s="257"/>
    </row>
    <row r="126" spans="3:3" x14ac:dyDescent="0.2">
      <c r="C126" s="257"/>
    </row>
    <row r="127" spans="3:3" x14ac:dyDescent="0.2">
      <c r="C127" s="257"/>
    </row>
    <row r="128" spans="3:3" x14ac:dyDescent="0.2">
      <c r="C128" s="257"/>
    </row>
    <row r="129" spans="3:3" x14ac:dyDescent="0.2">
      <c r="C129" s="257"/>
    </row>
    <row r="130" spans="3:3" x14ac:dyDescent="0.2">
      <c r="C130" s="257"/>
    </row>
    <row r="131" spans="3:3" x14ac:dyDescent="0.2">
      <c r="C131" s="257"/>
    </row>
    <row r="132" spans="3:3" x14ac:dyDescent="0.2">
      <c r="C132" s="257"/>
    </row>
    <row r="133" spans="3:3" x14ac:dyDescent="0.2">
      <c r="C133" s="257"/>
    </row>
    <row r="134" spans="3:3" x14ac:dyDescent="0.2">
      <c r="C134" s="257"/>
    </row>
    <row r="135" spans="3:3" x14ac:dyDescent="0.2">
      <c r="C135" s="257"/>
    </row>
    <row r="136" spans="3:3" x14ac:dyDescent="0.2">
      <c r="C136" s="257"/>
    </row>
    <row r="137" spans="3:3" x14ac:dyDescent="0.2">
      <c r="C137" s="257"/>
    </row>
    <row r="138" spans="3:3" x14ac:dyDescent="0.2">
      <c r="C138" s="257"/>
    </row>
    <row r="139" spans="3:3" x14ac:dyDescent="0.2">
      <c r="C139" s="257"/>
    </row>
    <row r="140" spans="3:3" x14ac:dyDescent="0.2">
      <c r="C140" s="257"/>
    </row>
    <row r="141" spans="3:3" x14ac:dyDescent="0.2">
      <c r="C141" s="257"/>
    </row>
    <row r="142" spans="3:3" x14ac:dyDescent="0.2">
      <c r="C142" s="257"/>
    </row>
    <row r="143" spans="3:3" x14ac:dyDescent="0.2">
      <c r="C143" s="257"/>
    </row>
    <row r="144" spans="3:3" x14ac:dyDescent="0.2">
      <c r="C144" s="257"/>
    </row>
    <row r="145" spans="3:3" x14ac:dyDescent="0.2">
      <c r="C145" s="257"/>
    </row>
    <row r="146" spans="3:3" x14ac:dyDescent="0.2">
      <c r="C146" s="257"/>
    </row>
    <row r="147" spans="3:3" x14ac:dyDescent="0.2">
      <c r="C147" s="257"/>
    </row>
    <row r="148" spans="3:3" x14ac:dyDescent="0.2">
      <c r="C148" s="257"/>
    </row>
  </sheetData>
  <mergeCells count="52">
    <mergeCell ref="A1:A4"/>
    <mergeCell ref="CA3:CB3"/>
    <mergeCell ref="BH3:BI4"/>
    <mergeCell ref="BK3:BN4"/>
    <mergeCell ref="AE4:AF4"/>
    <mergeCell ref="BF3:BF4"/>
    <mergeCell ref="BW2:CH2"/>
    <mergeCell ref="CE4:CF4"/>
    <mergeCell ref="BY4:BZ4"/>
    <mergeCell ref="AW4:AX4"/>
    <mergeCell ref="AZ4:BA4"/>
    <mergeCell ref="BW3:BZ3"/>
    <mergeCell ref="BW4:BX4"/>
    <mergeCell ref="CC4:CD4"/>
    <mergeCell ref="BC4:BD4"/>
    <mergeCell ref="CA4:CB4"/>
    <mergeCell ref="DA3:DF3"/>
    <mergeCell ref="CN1:CO2"/>
    <mergeCell ref="CP1:DK1"/>
    <mergeCell ref="CP2:DK2"/>
    <mergeCell ref="DG3:DH3"/>
    <mergeCell ref="DI3:DK3"/>
    <mergeCell ref="CN3:CO3"/>
    <mergeCell ref="CP3:CV3"/>
    <mergeCell ref="CW3:CZ3"/>
    <mergeCell ref="CJ4:CK4"/>
    <mergeCell ref="CL4:CM4"/>
    <mergeCell ref="CG4:CH4"/>
    <mergeCell ref="CJ3:CK3"/>
    <mergeCell ref="CL3:CM3"/>
    <mergeCell ref="CC3:CF3"/>
    <mergeCell ref="BP3:BR4"/>
    <mergeCell ref="BT3:BU4"/>
    <mergeCell ref="AT4:AU4"/>
    <mergeCell ref="O3:P4"/>
    <mergeCell ref="AK4:AL4"/>
    <mergeCell ref="AN4:AO4"/>
    <mergeCell ref="AQ4:AR4"/>
    <mergeCell ref="C1:AM1"/>
    <mergeCell ref="AE2:AM2"/>
    <mergeCell ref="AE3:AM3"/>
    <mergeCell ref="C2:E2"/>
    <mergeCell ref="L3:M4"/>
    <mergeCell ref="L2:AC2"/>
    <mergeCell ref="Z4:AA4"/>
    <mergeCell ref="Z3:AC3"/>
    <mergeCell ref="G2:J2"/>
    <mergeCell ref="C3:E4"/>
    <mergeCell ref="R3:T4"/>
    <mergeCell ref="V3:X4"/>
    <mergeCell ref="AH4:AI4"/>
    <mergeCell ref="G3:J4"/>
  </mergeCells>
  <phoneticPr fontId="2" type="noConversion"/>
  <printOptions horizontalCentered="1" gridLines="1"/>
  <pageMargins left="0.18" right="0.17" top="0.97" bottom="0" header="0.17" footer="0.17"/>
  <pageSetup paperSize="5" orientation="landscape" r:id="rId1"/>
  <headerFooter alignWithMargins="0">
    <oddHeader>&amp;CGeneral Election
Tuesday, November 6, 2018
Missaukee County, Michigan
Final Official Results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State,Cong,Leg</vt:lpstr>
      <vt:lpstr>State Boards</vt:lpstr>
      <vt:lpstr>Wayne,Cnty,Twp,Judge</vt:lpstr>
      <vt:lpstr>Kirt,COOR,Schools,Proposal</vt:lpstr>
      <vt:lpstr>'Kirt,COOR,Schools,Proposal'!Print_Area</vt:lpstr>
      <vt:lpstr>'State Boards'!Print_Area</vt:lpstr>
      <vt:lpstr>'State,Cong,Leg'!Print_Area</vt:lpstr>
      <vt:lpstr>'Wayne,Cnty,Twp,Judge'!Print_Area</vt:lpstr>
    </vt:vector>
  </TitlesOfParts>
  <Company>Clerk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Missaukee County</dc:creator>
  <cp:lastModifiedBy>Jessica Nielsen</cp:lastModifiedBy>
  <cp:lastPrinted>2018-11-07T17:17:00Z</cp:lastPrinted>
  <dcterms:created xsi:type="dcterms:W3CDTF">2008-07-10T19:25:35Z</dcterms:created>
  <dcterms:modified xsi:type="dcterms:W3CDTF">2018-11-21T21:23:30Z</dcterms:modified>
</cp:coreProperties>
</file>